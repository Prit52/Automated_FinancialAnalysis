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t9\Downloads\"/>
    </mc:Choice>
  </mc:AlternateContent>
  <xr:revisionPtr revIDLastSave="0" documentId="8_{2A3042FA-83AC-40BC-81DA-AC79270071C8}" xr6:coauthVersionLast="46" xr6:coauthVersionMax="46" xr10:uidLastSave="{00000000-0000-0000-0000-000000000000}"/>
  <bookViews>
    <workbookView xWindow="-108" yWindow="-108" windowWidth="23256" windowHeight="12576" activeTab="3" xr2:uid="{A31E4A51-B53B-4342-9C62-3BE010806648}"/>
  </bookViews>
  <sheets>
    <sheet name="BS" sheetId="1" r:id="rId1"/>
    <sheet name="P&amp;L" sheetId="2" r:id="rId2"/>
    <sheet name="CF" sheetId="3" r:id="rId3"/>
    <sheet name="CfA" sheetId="9" r:id="rId4"/>
    <sheet name="P&amp;LA" sheetId="4" r:id="rId5"/>
    <sheet name="LeA" sheetId="5" r:id="rId6"/>
    <sheet name="PA" sheetId="6" r:id="rId7"/>
    <sheet name="LiA" sheetId="7" r:id="rId8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9" l="1"/>
  <c r="D10" i="9"/>
  <c r="E10" i="9"/>
  <c r="F10" i="9"/>
  <c r="G10" i="9"/>
  <c r="H10" i="9"/>
  <c r="I10" i="9"/>
  <c r="C9" i="9"/>
  <c r="D9" i="9"/>
  <c r="E9" i="9"/>
  <c r="F9" i="9"/>
  <c r="G9" i="9"/>
  <c r="H9" i="9"/>
  <c r="I9" i="9"/>
  <c r="C8" i="9"/>
  <c r="D8" i="9"/>
  <c r="E8" i="9"/>
  <c r="F8" i="9"/>
  <c r="G8" i="9"/>
  <c r="H8" i="9"/>
  <c r="I8" i="9"/>
  <c r="C7" i="9"/>
  <c r="D7" i="9"/>
  <c r="E7" i="9"/>
  <c r="F7" i="9"/>
  <c r="G7" i="9"/>
  <c r="H7" i="9"/>
  <c r="I7" i="9"/>
  <c r="C6" i="9"/>
  <c r="D6" i="9"/>
  <c r="E6" i="9"/>
  <c r="F6" i="9"/>
  <c r="G6" i="9"/>
  <c r="H6" i="9"/>
  <c r="I6" i="9"/>
  <c r="C5" i="9"/>
  <c r="D5" i="9"/>
  <c r="E5" i="9"/>
  <c r="F5" i="9"/>
  <c r="G5" i="9"/>
  <c r="H5" i="9"/>
  <c r="I5" i="9"/>
  <c r="B10" i="9"/>
  <c r="B9" i="9"/>
  <c r="B8" i="9"/>
  <c r="B7" i="9"/>
  <c r="B6" i="9"/>
  <c r="B5" i="9"/>
  <c r="G13" i="3"/>
  <c r="H13" i="3"/>
  <c r="I13" i="3"/>
  <c r="G14" i="3"/>
  <c r="H14" i="3"/>
  <c r="I14" i="3"/>
  <c r="G15" i="3"/>
  <c r="H15" i="3"/>
  <c r="I15" i="3"/>
  <c r="G16" i="3"/>
  <c r="H16" i="3"/>
  <c r="I16" i="3"/>
  <c r="G17" i="3"/>
  <c r="H17" i="3"/>
  <c r="I17" i="3"/>
  <c r="G18" i="3"/>
  <c r="H18" i="3"/>
  <c r="I18" i="3"/>
  <c r="G19" i="3"/>
  <c r="H19" i="3"/>
  <c r="I19" i="3"/>
  <c r="G20" i="3"/>
  <c r="H20" i="3"/>
  <c r="I20" i="3"/>
  <c r="C8" i="7"/>
  <c r="D8" i="7"/>
  <c r="E8" i="7"/>
  <c r="F8" i="7"/>
  <c r="C7" i="7"/>
  <c r="D7" i="7"/>
  <c r="E7" i="7"/>
  <c r="F7" i="7"/>
  <c r="C6" i="7"/>
  <c r="D6" i="7"/>
  <c r="E6" i="7"/>
  <c r="F6" i="7"/>
  <c r="C5" i="7"/>
  <c r="D5" i="7"/>
  <c r="E5" i="7"/>
  <c r="F5" i="7"/>
  <c r="B8" i="7"/>
  <c r="B7" i="7"/>
  <c r="B6" i="7"/>
  <c r="B5" i="7"/>
  <c r="I4" i="9"/>
  <c r="H4" i="9"/>
  <c r="G4" i="9"/>
  <c r="F4" i="9"/>
  <c r="E4" i="9"/>
  <c r="D4" i="9"/>
  <c r="C4" i="9"/>
  <c r="B4" i="9"/>
  <c r="I4" i="7"/>
  <c r="H4" i="7"/>
  <c r="G4" i="7"/>
  <c r="F4" i="7"/>
  <c r="E4" i="7"/>
  <c r="D4" i="7"/>
  <c r="C4" i="7"/>
  <c r="B4" i="7"/>
  <c r="I4" i="6"/>
  <c r="H4" i="6"/>
  <c r="G4" i="6"/>
  <c r="F4" i="6"/>
  <c r="E4" i="6"/>
  <c r="D4" i="6"/>
  <c r="C4" i="6"/>
  <c r="B4" i="6"/>
  <c r="C14" i="5"/>
  <c r="D14" i="5"/>
  <c r="E14" i="5"/>
  <c r="F14" i="5"/>
  <c r="B14" i="5"/>
  <c r="F13" i="5"/>
  <c r="B13" i="5"/>
  <c r="B5" i="5"/>
  <c r="C7" i="5"/>
  <c r="D7" i="5"/>
  <c r="E7" i="5"/>
  <c r="F7" i="5"/>
  <c r="B7" i="5"/>
  <c r="C6" i="5"/>
  <c r="D6" i="5"/>
  <c r="E6" i="5"/>
  <c r="F6" i="5"/>
  <c r="B6" i="5"/>
  <c r="C5" i="5"/>
  <c r="D5" i="5"/>
  <c r="E5" i="5"/>
  <c r="F5" i="5"/>
  <c r="G13" i="1"/>
  <c r="I4" i="5"/>
  <c r="H4" i="5"/>
  <c r="G4" i="5"/>
  <c r="F4" i="5"/>
  <c r="E4" i="5"/>
  <c r="D4" i="5"/>
  <c r="C4" i="5"/>
  <c r="B4" i="5"/>
  <c r="F20" i="4"/>
  <c r="B20" i="4"/>
  <c r="C13" i="4"/>
  <c r="C21" i="4" s="1"/>
  <c r="D13" i="4"/>
  <c r="D21" i="4" s="1"/>
  <c r="E13" i="4"/>
  <c r="E21" i="4" s="1"/>
  <c r="F13" i="4"/>
  <c r="F21" i="4" s="1"/>
  <c r="B13" i="4"/>
  <c r="B21" i="4" s="1"/>
  <c r="C12" i="4"/>
  <c r="D12" i="4"/>
  <c r="E12" i="4"/>
  <c r="F12" i="4"/>
  <c r="B12" i="4"/>
  <c r="C10" i="4"/>
  <c r="C20" i="4" s="1"/>
  <c r="D10" i="4"/>
  <c r="D20" i="4" s="1"/>
  <c r="E10" i="4"/>
  <c r="E20" i="4" s="1"/>
  <c r="F10" i="4"/>
  <c r="B10" i="4"/>
  <c r="C8" i="4"/>
  <c r="D8" i="4"/>
  <c r="E8" i="4"/>
  <c r="F8" i="4"/>
  <c r="B8" i="4"/>
  <c r="C6" i="4"/>
  <c r="D6" i="4"/>
  <c r="E6" i="4"/>
  <c r="F6" i="4"/>
  <c r="B6" i="4"/>
  <c r="C5" i="4"/>
  <c r="C13" i="5" s="1"/>
  <c r="D5" i="4"/>
  <c r="D7" i="4" s="1"/>
  <c r="E5" i="4"/>
  <c r="E7" i="4" s="1"/>
  <c r="F5" i="4"/>
  <c r="F7" i="4" s="1"/>
  <c r="B5" i="4"/>
  <c r="B7" i="4" s="1"/>
  <c r="B4" i="4"/>
  <c r="C4" i="4"/>
  <c r="D4" i="4"/>
  <c r="E4" i="4"/>
  <c r="F4" i="4"/>
  <c r="G4" i="4"/>
  <c r="H4" i="4"/>
  <c r="I4" i="4"/>
  <c r="G22" i="4"/>
  <c r="H22" i="4"/>
  <c r="I23" i="4"/>
  <c r="G23" i="4"/>
  <c r="H23" i="4"/>
  <c r="I24" i="4"/>
  <c r="G24" i="4"/>
  <c r="H24" i="4"/>
  <c r="I25" i="4"/>
  <c r="G25" i="4"/>
  <c r="H25" i="4"/>
  <c r="I26" i="4"/>
  <c r="G26" i="4"/>
  <c r="H26" i="4"/>
  <c r="I27" i="4"/>
  <c r="G27" i="4"/>
  <c r="H27" i="4"/>
  <c r="I28" i="4"/>
  <c r="G28" i="4"/>
  <c r="H28" i="4"/>
  <c r="I29" i="4"/>
  <c r="G29" i="4"/>
  <c r="H29" i="4"/>
  <c r="I30" i="4"/>
  <c r="G30" i="4"/>
  <c r="H30" i="4"/>
  <c r="I31" i="4"/>
  <c r="G31" i="4"/>
  <c r="H31" i="4"/>
  <c r="I32" i="4"/>
  <c r="G32" i="4"/>
  <c r="H32" i="4"/>
  <c r="I33" i="4"/>
  <c r="G33" i="4"/>
  <c r="H33" i="4"/>
  <c r="I34" i="4"/>
  <c r="G34" i="4"/>
  <c r="H34" i="4"/>
  <c r="I35" i="4"/>
  <c r="G35" i="4"/>
  <c r="H35" i="4"/>
  <c r="I36" i="4"/>
  <c r="G36" i="4"/>
  <c r="H36" i="4"/>
  <c r="I37" i="4"/>
  <c r="G37" i="4"/>
  <c r="H37" i="4"/>
  <c r="I38" i="4"/>
  <c r="G38" i="4"/>
  <c r="H38" i="4"/>
  <c r="I39" i="4"/>
  <c r="G39" i="4"/>
  <c r="H39" i="4"/>
  <c r="I40" i="4"/>
  <c r="G40" i="4"/>
  <c r="H40" i="4"/>
  <c r="I41" i="4"/>
  <c r="G41" i="4"/>
  <c r="H41" i="4"/>
  <c r="I42" i="4"/>
  <c r="G42" i="4"/>
  <c r="H42" i="4"/>
  <c r="I43" i="4"/>
  <c r="G43" i="4"/>
  <c r="H43" i="4"/>
  <c r="I44" i="4"/>
  <c r="G44" i="4"/>
  <c r="H44" i="4"/>
  <c r="I45" i="4"/>
  <c r="G45" i="4"/>
  <c r="H45" i="4"/>
  <c r="I46" i="4"/>
  <c r="G46" i="4"/>
  <c r="H46" i="4"/>
  <c r="I47" i="4"/>
  <c r="G47" i="4"/>
  <c r="H47" i="4"/>
  <c r="I48" i="4"/>
  <c r="G48" i="4"/>
  <c r="H48" i="4"/>
  <c r="I49" i="4"/>
  <c r="G49" i="4"/>
  <c r="H49" i="4"/>
  <c r="I50" i="4"/>
  <c r="G50" i="4"/>
  <c r="H50" i="4"/>
  <c r="I51" i="4"/>
  <c r="G51" i="4"/>
  <c r="H51" i="4"/>
  <c r="I52" i="4"/>
  <c r="G52" i="4"/>
  <c r="H52" i="4"/>
  <c r="I53" i="4"/>
  <c r="G53" i="4"/>
  <c r="H53" i="4"/>
  <c r="I54" i="4"/>
  <c r="G54" i="4"/>
  <c r="H54" i="4"/>
  <c r="I55" i="4"/>
  <c r="G55" i="4"/>
  <c r="H55" i="4"/>
  <c r="I56" i="4"/>
  <c r="G56" i="4"/>
  <c r="H56" i="4"/>
  <c r="I57" i="4"/>
  <c r="G57" i="4"/>
  <c r="H57" i="4"/>
  <c r="I58" i="4"/>
  <c r="G58" i="4"/>
  <c r="H58" i="4"/>
  <c r="I59" i="4"/>
  <c r="G59" i="4"/>
  <c r="H59" i="4"/>
  <c r="I60" i="4"/>
  <c r="G60" i="4"/>
  <c r="H60" i="4"/>
  <c r="I61" i="4"/>
  <c r="G61" i="4"/>
  <c r="H61" i="4"/>
  <c r="I62" i="4"/>
  <c r="E8" i="6" l="1"/>
  <c r="E9" i="4"/>
  <c r="E11" i="4" s="1"/>
  <c r="E17" i="4"/>
  <c r="D17" i="4"/>
  <c r="D8" i="6"/>
  <c r="D9" i="4"/>
  <c r="D11" i="4" s="1"/>
  <c r="B8" i="6"/>
  <c r="B17" i="4"/>
  <c r="B9" i="4"/>
  <c r="B11" i="4" s="1"/>
  <c r="F17" i="4"/>
  <c r="F8" i="6"/>
  <c r="F9" i="4"/>
  <c r="F11" i="4" s="1"/>
  <c r="C7" i="4"/>
  <c r="E13" i="5"/>
  <c r="D13" i="5"/>
  <c r="G5" i="3"/>
  <c r="H5" i="3" s="1"/>
  <c r="I5" i="3" s="1"/>
  <c r="G6" i="3"/>
  <c r="G7" i="3"/>
  <c r="H7" i="3" s="1"/>
  <c r="G8" i="3"/>
  <c r="H8" i="3" s="1"/>
  <c r="I8" i="3" s="1"/>
  <c r="G9" i="3"/>
  <c r="H9" i="3" s="1"/>
  <c r="I9" i="3" s="1"/>
  <c r="G10" i="3"/>
  <c r="H10" i="3"/>
  <c r="G11" i="3"/>
  <c r="H11" i="3" s="1"/>
  <c r="G12" i="3"/>
  <c r="H12" i="3"/>
  <c r="I12" i="3"/>
  <c r="G7" i="2"/>
  <c r="H7" i="2" s="1"/>
  <c r="G8" i="2"/>
  <c r="H8" i="2" s="1"/>
  <c r="G9" i="2"/>
  <c r="H9" i="2"/>
  <c r="I9" i="2" s="1"/>
  <c r="G10" i="2"/>
  <c r="H10" i="2" s="1"/>
  <c r="I10" i="2" s="1"/>
  <c r="G11" i="2"/>
  <c r="G12" i="2"/>
  <c r="H12" i="2"/>
  <c r="I12" i="2"/>
  <c r="G13" i="2"/>
  <c r="H13" i="2"/>
  <c r="G14" i="2"/>
  <c r="H14" i="2" s="1"/>
  <c r="I14" i="2" s="1"/>
  <c r="G15" i="2"/>
  <c r="G16" i="2"/>
  <c r="H16" i="2"/>
  <c r="I16" i="2"/>
  <c r="G17" i="2"/>
  <c r="H17" i="2"/>
  <c r="I17" i="2" s="1"/>
  <c r="G18" i="2"/>
  <c r="H18" i="2" s="1"/>
  <c r="I18" i="2" s="1"/>
  <c r="G19" i="2"/>
  <c r="G20" i="2"/>
  <c r="H20" i="2" s="1"/>
  <c r="G21" i="2"/>
  <c r="H21" i="2" s="1"/>
  <c r="I21" i="2" s="1"/>
  <c r="G22" i="2"/>
  <c r="H22" i="2" s="1"/>
  <c r="I22" i="2" s="1"/>
  <c r="G23" i="2"/>
  <c r="H23" i="2"/>
  <c r="I23" i="2"/>
  <c r="G24" i="2"/>
  <c r="H24" i="2" s="1"/>
  <c r="G25" i="2"/>
  <c r="H25" i="2"/>
  <c r="I25" i="2"/>
  <c r="G26" i="2"/>
  <c r="H26" i="2" s="1"/>
  <c r="I26" i="2" s="1"/>
  <c r="G27" i="2"/>
  <c r="H27" i="2"/>
  <c r="G28" i="2"/>
  <c r="G29" i="2"/>
  <c r="H29" i="2"/>
  <c r="I29" i="2" s="1"/>
  <c r="G30" i="2"/>
  <c r="H30" i="2" s="1"/>
  <c r="I30" i="2" s="1"/>
  <c r="G31" i="2"/>
  <c r="G32" i="2"/>
  <c r="H32" i="2"/>
  <c r="I32" i="2"/>
  <c r="G33" i="2"/>
  <c r="H33" i="2"/>
  <c r="I33" i="2" s="1"/>
  <c r="G34" i="2"/>
  <c r="H34" i="2" s="1"/>
  <c r="I34" i="2" s="1"/>
  <c r="G35" i="2"/>
  <c r="H35" i="2"/>
  <c r="I35" i="2"/>
  <c r="G36" i="2"/>
  <c r="H36" i="2"/>
  <c r="I36" i="2"/>
  <c r="G37" i="2"/>
  <c r="H37" i="2"/>
  <c r="G38" i="2"/>
  <c r="H38" i="2" s="1"/>
  <c r="I38" i="2" s="1"/>
  <c r="G39" i="2"/>
  <c r="H39" i="2"/>
  <c r="I39" i="2"/>
  <c r="G40" i="2"/>
  <c r="H40" i="2" s="1"/>
  <c r="G41" i="2"/>
  <c r="H41" i="2"/>
  <c r="G42" i="2"/>
  <c r="H42" i="2"/>
  <c r="I42" i="2"/>
  <c r="G43" i="2"/>
  <c r="H43" i="2"/>
  <c r="I43" i="2"/>
  <c r="G44" i="2"/>
  <c r="H44" i="2"/>
  <c r="I44" i="2"/>
  <c r="G45" i="2"/>
  <c r="H45" i="2"/>
  <c r="I45" i="2"/>
  <c r="G46" i="2"/>
  <c r="H46" i="2"/>
  <c r="I46" i="2"/>
  <c r="G47" i="2"/>
  <c r="H47" i="2"/>
  <c r="I47" i="2"/>
  <c r="G48" i="2"/>
  <c r="H48" i="2"/>
  <c r="I48" i="2"/>
  <c r="G49" i="2"/>
  <c r="H49" i="2"/>
  <c r="I49" i="2"/>
  <c r="G50" i="2"/>
  <c r="H50" i="2"/>
  <c r="I50" i="2"/>
  <c r="G51" i="2"/>
  <c r="H51" i="2"/>
  <c r="I51" i="2"/>
  <c r="G52" i="2"/>
  <c r="H52" i="2"/>
  <c r="I52" i="2"/>
  <c r="G53" i="2"/>
  <c r="H53" i="2"/>
  <c r="I53" i="2"/>
  <c r="G54" i="2"/>
  <c r="H54" i="2"/>
  <c r="I54" i="2"/>
  <c r="G55" i="2"/>
  <c r="H55" i="2"/>
  <c r="I55" i="2"/>
  <c r="G56" i="2"/>
  <c r="H56" i="2"/>
  <c r="I56" i="2"/>
  <c r="G57" i="2"/>
  <c r="H57" i="2"/>
  <c r="I57" i="2"/>
  <c r="G58" i="2"/>
  <c r="H58" i="2"/>
  <c r="I58" i="2"/>
  <c r="G59" i="2"/>
  <c r="H59" i="2"/>
  <c r="I59" i="2"/>
  <c r="G60" i="2"/>
  <c r="H60" i="2"/>
  <c r="I60" i="2"/>
  <c r="H6" i="2"/>
  <c r="I6" i="2" s="1"/>
  <c r="G6" i="2"/>
  <c r="G7" i="1"/>
  <c r="H7" i="1" s="1"/>
  <c r="G8" i="1"/>
  <c r="H8" i="1" s="1"/>
  <c r="G9" i="1"/>
  <c r="H9" i="1"/>
  <c r="I9" i="1"/>
  <c r="G10" i="1"/>
  <c r="H10" i="1" s="1"/>
  <c r="I10" i="1" s="1"/>
  <c r="G11" i="1"/>
  <c r="H11" i="1" s="1"/>
  <c r="G12" i="1"/>
  <c r="H13" i="1"/>
  <c r="I13" i="1"/>
  <c r="G14" i="1"/>
  <c r="H14" i="1" s="1"/>
  <c r="I14" i="1" s="1"/>
  <c r="G15" i="1"/>
  <c r="H15" i="1"/>
  <c r="I15" i="1"/>
  <c r="G16" i="1"/>
  <c r="G17" i="1"/>
  <c r="H17" i="1"/>
  <c r="I17" i="1" s="1"/>
  <c r="G18" i="1"/>
  <c r="H18" i="1" s="1"/>
  <c r="I18" i="1" s="1"/>
  <c r="G19" i="1"/>
  <c r="H19" i="1" s="1"/>
  <c r="G20" i="1"/>
  <c r="H20" i="1" s="1"/>
  <c r="G21" i="1"/>
  <c r="H21" i="1"/>
  <c r="I21" i="1"/>
  <c r="G22" i="1"/>
  <c r="H22" i="1" s="1"/>
  <c r="I22" i="1" s="1"/>
  <c r="G23" i="1"/>
  <c r="H23" i="1" s="1"/>
  <c r="G24" i="1"/>
  <c r="H24" i="1" s="1"/>
  <c r="G25" i="1"/>
  <c r="H25" i="1" s="1"/>
  <c r="I25" i="1" s="1"/>
  <c r="G26" i="1"/>
  <c r="H26" i="1" s="1"/>
  <c r="I26" i="1" s="1"/>
  <c r="G27" i="1"/>
  <c r="H27" i="1" s="1"/>
  <c r="G28" i="1"/>
  <c r="H28" i="1"/>
  <c r="I28" i="1"/>
  <c r="G29" i="1"/>
  <c r="H29" i="1"/>
  <c r="I29" i="1"/>
  <c r="G30" i="1"/>
  <c r="H30" i="1" s="1"/>
  <c r="I30" i="1" s="1"/>
  <c r="G31" i="1"/>
  <c r="H31" i="1" s="1"/>
  <c r="G32" i="1"/>
  <c r="H32" i="1" s="1"/>
  <c r="G33" i="1"/>
  <c r="H33" i="1"/>
  <c r="I33" i="1" s="1"/>
  <c r="G34" i="1"/>
  <c r="H34" i="1" s="1"/>
  <c r="I34" i="1" s="1"/>
  <c r="G35" i="1"/>
  <c r="H35" i="1" s="1"/>
  <c r="G36" i="1"/>
  <c r="H36" i="1" s="1"/>
  <c r="G37" i="1"/>
  <c r="H37" i="1"/>
  <c r="I37" i="1" s="1"/>
  <c r="G38" i="1"/>
  <c r="H38" i="1" s="1"/>
  <c r="I38" i="1" s="1"/>
  <c r="G39" i="1"/>
  <c r="H39" i="1" s="1"/>
  <c r="G40" i="1"/>
  <c r="H40" i="1"/>
  <c r="I40" i="1"/>
  <c r="G41" i="1"/>
  <c r="H41" i="1"/>
  <c r="G42" i="1"/>
  <c r="H42" i="1" s="1"/>
  <c r="I42" i="1" s="1"/>
  <c r="G43" i="1"/>
  <c r="H43" i="1" s="1"/>
  <c r="G44" i="1"/>
  <c r="G45" i="1"/>
  <c r="H45" i="1"/>
  <c r="I45" i="1" s="1"/>
  <c r="G46" i="1"/>
  <c r="H46" i="1" s="1"/>
  <c r="I46" i="1" s="1"/>
  <c r="G47" i="1"/>
  <c r="G48" i="1"/>
  <c r="G49" i="1"/>
  <c r="H49" i="1"/>
  <c r="I49" i="1"/>
  <c r="G50" i="1"/>
  <c r="H50" i="1"/>
  <c r="I50" i="1"/>
  <c r="G51" i="1"/>
  <c r="H51" i="1" s="1"/>
  <c r="G52" i="1"/>
  <c r="H52" i="1"/>
  <c r="I52" i="1"/>
  <c r="G53" i="1"/>
  <c r="H53" i="1"/>
  <c r="I53" i="1" s="1"/>
  <c r="G54" i="1"/>
  <c r="H54" i="1"/>
  <c r="I54" i="1"/>
  <c r="G55" i="1"/>
  <c r="H55" i="1" s="1"/>
  <c r="G56" i="1"/>
  <c r="H56" i="1"/>
  <c r="I56" i="1"/>
  <c r="G57" i="1"/>
  <c r="H57" i="1"/>
  <c r="I57" i="1" s="1"/>
  <c r="G58" i="1"/>
  <c r="H58" i="1"/>
  <c r="I58" i="1"/>
  <c r="G59" i="1"/>
  <c r="H59" i="1"/>
  <c r="I59" i="1"/>
  <c r="G60" i="1"/>
  <c r="H60" i="1"/>
  <c r="I60" i="1"/>
  <c r="H6" i="1"/>
  <c r="I6" i="1"/>
  <c r="G6" i="1"/>
  <c r="H16" i="1" l="1"/>
  <c r="G7" i="5"/>
  <c r="G5" i="5"/>
  <c r="H28" i="2"/>
  <c r="H13" i="4" s="1"/>
  <c r="G13" i="4"/>
  <c r="G10" i="4"/>
  <c r="G20" i="4" s="1"/>
  <c r="F7" i="6"/>
  <c r="F18" i="4"/>
  <c r="F14" i="4"/>
  <c r="F9" i="6"/>
  <c r="F12" i="5"/>
  <c r="F11" i="5"/>
  <c r="I37" i="2"/>
  <c r="I27" i="2"/>
  <c r="I13" i="2"/>
  <c r="I10" i="3"/>
  <c r="D9" i="6"/>
  <c r="D12" i="5"/>
  <c r="D11" i="5"/>
  <c r="D7" i="6"/>
  <c r="D18" i="4"/>
  <c r="D14" i="4"/>
  <c r="E9" i="6"/>
  <c r="E12" i="5"/>
  <c r="E11" i="5"/>
  <c r="E7" i="6"/>
  <c r="E18" i="4"/>
  <c r="E14" i="4"/>
  <c r="H48" i="1"/>
  <c r="H14" i="5" s="1"/>
  <c r="G14" i="5"/>
  <c r="I41" i="1"/>
  <c r="H6" i="7"/>
  <c r="H47" i="1"/>
  <c r="H5" i="7" s="1"/>
  <c r="G5" i="7"/>
  <c r="H44" i="1"/>
  <c r="H7" i="7" s="1"/>
  <c r="G7" i="7"/>
  <c r="G6" i="7"/>
  <c r="H12" i="1"/>
  <c r="G6" i="5"/>
  <c r="I41" i="2"/>
  <c r="H31" i="2"/>
  <c r="I31" i="2" s="1"/>
  <c r="H19" i="2"/>
  <c r="H10" i="4" s="1"/>
  <c r="H15" i="2"/>
  <c r="I15" i="2" s="1"/>
  <c r="G6" i="4"/>
  <c r="H11" i="2"/>
  <c r="H5" i="4" s="1"/>
  <c r="G5" i="4"/>
  <c r="H6" i="3"/>
  <c r="H8" i="7" s="1"/>
  <c r="G8" i="7"/>
  <c r="C17" i="4"/>
  <c r="C8" i="6"/>
  <c r="C9" i="4"/>
  <c r="C11" i="4" s="1"/>
  <c r="B18" i="4"/>
  <c r="B14" i="4"/>
  <c r="B7" i="6"/>
  <c r="B9" i="6"/>
  <c r="B12" i="5"/>
  <c r="B11" i="5"/>
  <c r="I6" i="3"/>
  <c r="I8" i="7" s="1"/>
  <c r="I11" i="3"/>
  <c r="I7" i="3"/>
  <c r="I11" i="2"/>
  <c r="I5" i="4" s="1"/>
  <c r="I7" i="2"/>
  <c r="I40" i="2"/>
  <c r="I28" i="2"/>
  <c r="I13" i="4" s="1"/>
  <c r="I24" i="2"/>
  <c r="I20" i="2"/>
  <c r="I8" i="2"/>
  <c r="I55" i="1"/>
  <c r="I51" i="1"/>
  <c r="I43" i="1"/>
  <c r="I39" i="1"/>
  <c r="I35" i="1"/>
  <c r="I31" i="1"/>
  <c r="I27" i="1"/>
  <c r="I23" i="1"/>
  <c r="I19" i="1"/>
  <c r="I11" i="1"/>
  <c r="I7" i="1"/>
  <c r="I48" i="1"/>
  <c r="I14" i="5" s="1"/>
  <c r="I44" i="1"/>
  <c r="I7" i="7" s="1"/>
  <c r="I36" i="1"/>
  <c r="I32" i="1"/>
  <c r="I24" i="1"/>
  <c r="I20" i="1"/>
  <c r="I16" i="1"/>
  <c r="I12" i="1"/>
  <c r="I8" i="1"/>
  <c r="I6" i="5" l="1"/>
  <c r="C12" i="5"/>
  <c r="C11" i="5"/>
  <c r="C7" i="6"/>
  <c r="C18" i="4"/>
  <c r="C14" i="4"/>
  <c r="C9" i="6"/>
  <c r="I6" i="7"/>
  <c r="H6" i="4"/>
  <c r="I19" i="2"/>
  <c r="I10" i="4" s="1"/>
  <c r="I20" i="4" s="1"/>
  <c r="I21" i="4"/>
  <c r="E5" i="6"/>
  <c r="E10" i="6"/>
  <c r="E6" i="6"/>
  <c r="E15" i="5"/>
  <c r="E10" i="5"/>
  <c r="E19" i="4"/>
  <c r="F19" i="4"/>
  <c r="F5" i="6"/>
  <c r="F10" i="6"/>
  <c r="F6" i="6"/>
  <c r="F15" i="5"/>
  <c r="F10" i="5"/>
  <c r="I7" i="5"/>
  <c r="I5" i="5"/>
  <c r="I47" i="1"/>
  <c r="I5" i="7" s="1"/>
  <c r="G13" i="5"/>
  <c r="G7" i="4"/>
  <c r="H20" i="4"/>
  <c r="H6" i="5"/>
  <c r="D5" i="6"/>
  <c r="D10" i="6"/>
  <c r="D6" i="6"/>
  <c r="D15" i="5"/>
  <c r="D10" i="5"/>
  <c r="D19" i="4"/>
  <c r="I6" i="4"/>
  <c r="G21" i="4"/>
  <c r="I7" i="4"/>
  <c r="I13" i="5"/>
  <c r="B19" i="4"/>
  <c r="B10" i="6"/>
  <c r="B6" i="6"/>
  <c r="B5" i="6"/>
  <c r="B15" i="5"/>
  <c r="B10" i="5"/>
  <c r="H7" i="4"/>
  <c r="H13" i="5"/>
  <c r="H21" i="4"/>
  <c r="H7" i="5"/>
  <c r="H5" i="5"/>
  <c r="G17" i="4" l="1"/>
  <c r="G8" i="6"/>
  <c r="G9" i="4"/>
  <c r="G11" i="4" s="1"/>
  <c r="H17" i="4"/>
  <c r="H8" i="6"/>
  <c r="H9" i="4"/>
  <c r="H11" i="4" s="1"/>
  <c r="I8" i="6"/>
  <c r="I9" i="4"/>
  <c r="I11" i="4" s="1"/>
  <c r="I17" i="4"/>
  <c r="C10" i="6"/>
  <c r="C6" i="6"/>
  <c r="C15" i="5"/>
  <c r="C10" i="5"/>
  <c r="C19" i="4"/>
  <c r="C5" i="6"/>
  <c r="G12" i="5" l="1"/>
  <c r="G11" i="5"/>
  <c r="G7" i="6"/>
  <c r="G18" i="4"/>
  <c r="G14" i="4"/>
  <c r="G9" i="6"/>
  <c r="I9" i="6"/>
  <c r="I12" i="5"/>
  <c r="I11" i="5"/>
  <c r="I7" i="6"/>
  <c r="I18" i="4"/>
  <c r="I14" i="4"/>
  <c r="H9" i="6"/>
  <c r="H12" i="5"/>
  <c r="H11" i="5"/>
  <c r="H7" i="6"/>
  <c r="H18" i="4"/>
  <c r="H14" i="4"/>
  <c r="I5" i="6" l="1"/>
  <c r="I10" i="6"/>
  <c r="I6" i="6"/>
  <c r="I15" i="5"/>
  <c r="I10" i="5"/>
  <c r="I19" i="4"/>
  <c r="H5" i="6"/>
  <c r="H10" i="6"/>
  <c r="H6" i="6"/>
  <c r="H15" i="5"/>
  <c r="H10" i="5"/>
  <c r="H19" i="4"/>
  <c r="G10" i="6"/>
  <c r="G6" i="6"/>
  <c r="G15" i="5"/>
  <c r="G10" i="5"/>
  <c r="G19" i="4"/>
  <c r="G5" i="6"/>
</calcChain>
</file>

<file path=xl/sharedStrings.xml><?xml version="1.0" encoding="utf-8"?>
<sst xmlns="http://schemas.openxmlformats.org/spreadsheetml/2006/main" count="169" uniqueCount="143">
  <si>
    <t>Balance Sheet</t>
  </si>
  <si>
    <t>Total Share Capital</t>
  </si>
  <si>
    <t>Equity Share Capital</t>
  </si>
  <si>
    <t>Total Current Assets</t>
  </si>
  <si>
    <t>Total Assets</t>
  </si>
  <si>
    <t>Contingent Liabilities</t>
  </si>
  <si>
    <t>Inventories</t>
  </si>
  <si>
    <t>Historical</t>
  </si>
  <si>
    <t>Forecast</t>
  </si>
  <si>
    <t>EQUITIES AND LIABILITIES</t>
  </si>
  <si>
    <t>SHAREHOLDER'S FUNDS</t>
  </si>
  <si>
    <t>Revaluation Reserves</t>
  </si>
  <si>
    <t>Reserves and Surplus</t>
  </si>
  <si>
    <t>Total Reserves and Surplus</t>
  </si>
  <si>
    <t>Total Shareholders Funds</t>
  </si>
  <si>
    <t>Equity Share Application Money</t>
  </si>
  <si>
    <t>Minority Interest</t>
  </si>
  <si>
    <t>NON-CURRENT LIABILITIES</t>
  </si>
  <si>
    <t>Long Term Borrowings</t>
  </si>
  <si>
    <t>Deferred Tax Liabilities [Net]</t>
  </si>
  <si>
    <t>Other Long Term Liabilities</t>
  </si>
  <si>
    <t>Long Term Provisions</t>
  </si>
  <si>
    <t>Total Non-Current Liabilities</t>
  </si>
  <si>
    <t>CURRENT LIABILITIES</t>
  </si>
  <si>
    <t>Short Term Borrowings</t>
  </si>
  <si>
    <t>Trade Payables</t>
  </si>
  <si>
    <t>Other Current Liabilities</t>
  </si>
  <si>
    <t>Short Term Provisions</t>
  </si>
  <si>
    <t>Total Current Liabilities</t>
  </si>
  <si>
    <t>Total Capital And Liabilities</t>
  </si>
  <si>
    <t>ASSETS</t>
  </si>
  <si>
    <t>NON-CURRENT ASSETS</t>
  </si>
  <si>
    <t>Tangible Assets</t>
  </si>
  <si>
    <t>Intangible Assets</t>
  </si>
  <si>
    <t>Capital Work-In-Progress</t>
  </si>
  <si>
    <t>Intangible Assets Under Development</t>
  </si>
  <si>
    <t>Fixed Assets</t>
  </si>
  <si>
    <t>Non-Current Investments</t>
  </si>
  <si>
    <t>Deferred Tax Assets [Net]</t>
  </si>
  <si>
    <t>Long Term Loans And Advances</t>
  </si>
  <si>
    <t>Other Non-Current Assets</t>
  </si>
  <si>
    <t>Total Non-Current Assets</t>
  </si>
  <si>
    <t>CURRENT ASSETS</t>
  </si>
  <si>
    <t>Current Investments</t>
  </si>
  <si>
    <t>Trade Receivables</t>
  </si>
  <si>
    <t>Cash And Cash Equivalents</t>
  </si>
  <si>
    <t>Short Term Loans And Advances</t>
  </si>
  <si>
    <t>OtherCurrentAssets</t>
  </si>
  <si>
    <t>OTHER ADDITIONAL INFORMATION</t>
  </si>
  <si>
    <t>CONTINGENT LIABILITIES, COMMITMENTS</t>
  </si>
  <si>
    <t>BONUS DETAILS</t>
  </si>
  <si>
    <t>Bonus Equity Share Capital</t>
  </si>
  <si>
    <t>NON-CURRENT INVESTMENTS</t>
  </si>
  <si>
    <t>Non-Current Investments Unquoted Book Value</t>
  </si>
  <si>
    <t>CURRENT INVESTMENTS</t>
  </si>
  <si>
    <t>Current Investments Unquoted Book Value</t>
  </si>
  <si>
    <t>Profit &amp; Loss</t>
  </si>
  <si>
    <t>INCOME</t>
  </si>
  <si>
    <t>Revenue From Operations [Gross]</t>
  </si>
  <si>
    <t>Less: Excise/Sevice Tax/Other Levies</t>
  </si>
  <si>
    <t>Revenue From Operations [Net]</t>
  </si>
  <si>
    <t>Total Operating Revenues</t>
  </si>
  <si>
    <t>Other Income</t>
  </si>
  <si>
    <t>Total Revenue</t>
  </si>
  <si>
    <t>EXPENSES</t>
  </si>
  <si>
    <t>Cost Of Materials Consumed</t>
  </si>
  <si>
    <t>Purchase Of Stock-In Trade</t>
  </si>
  <si>
    <t>Operating And Direct Expenses</t>
  </si>
  <si>
    <t>Changes In Inventories Of FG,WIP And Stock-In Trade</t>
  </si>
  <si>
    <t>Employee Benefit Expenses</t>
  </si>
  <si>
    <t>Finance Costs</t>
  </si>
  <si>
    <t>Depreciation And Amortisation Expenses</t>
  </si>
  <si>
    <t>Other Expenses</t>
  </si>
  <si>
    <t>Total Expenses</t>
  </si>
  <si>
    <t>Profit/Loss Before Exceptional, ExtraOrdinary Items And Tax</t>
  </si>
  <si>
    <t>Exceptional Items</t>
  </si>
  <si>
    <t>Profit/Loss Before Tax</t>
  </si>
  <si>
    <t>Tax Expenses-Continued Operations</t>
  </si>
  <si>
    <t>Current Tax</t>
  </si>
  <si>
    <t>Deferred Tax</t>
  </si>
  <si>
    <t>Total Tax Expenses</t>
  </si>
  <si>
    <t>Profit/Loss After Tax And Before ExtraOrdinary Items</t>
  </si>
  <si>
    <t>Profit/Loss From Continuing Operations</t>
  </si>
  <si>
    <t>Profit/Loss For The Period</t>
  </si>
  <si>
    <t>Share Of Profit/Loss Of Associates</t>
  </si>
  <si>
    <t>Consolidated Profit/Loss After MI And Associates</t>
  </si>
  <si>
    <t>EARNINGS PER SHARE</t>
  </si>
  <si>
    <t>Basic EPS (Rs.)</t>
  </si>
  <si>
    <t>Diluted EPS (Rs.)</t>
  </si>
  <si>
    <t>DIVIDEND AND DIVIDEND PERCENTAGE</t>
  </si>
  <si>
    <t>Equity Share Dividend</t>
  </si>
  <si>
    <t>Tax On Dividend</t>
  </si>
  <si>
    <t>Cash Flow</t>
  </si>
  <si>
    <t>Net Profit/Loss Before Extraordinary Items And Tax</t>
  </si>
  <si>
    <t>Net CashFlow From Operating Activities</t>
  </si>
  <si>
    <t>Net Cash Used In Investing Activities</t>
  </si>
  <si>
    <t>Net Cash Used From Financing Activities</t>
  </si>
  <si>
    <t>Net Inc/Dec In Cash And Cash Equivalents</t>
  </si>
  <si>
    <t>Cash And Cash Equivalents Begin of Year</t>
  </si>
  <si>
    <t>Cash And Cash Equivalents End Of Year</t>
  </si>
  <si>
    <t>P&amp;L Analysis</t>
  </si>
  <si>
    <t>Revenue</t>
  </si>
  <si>
    <t>(-) Manufacturing Expenses</t>
  </si>
  <si>
    <t>Gross Profit</t>
  </si>
  <si>
    <t>(-) SG&amp;A Expenses</t>
  </si>
  <si>
    <t>EBITDA</t>
  </si>
  <si>
    <t>(-) Depritiation &amp; Amortization</t>
  </si>
  <si>
    <t>Operating Profit / EBIT</t>
  </si>
  <si>
    <t>Net Profit</t>
  </si>
  <si>
    <t xml:space="preserve">(-) Tax </t>
  </si>
  <si>
    <t>(-) Interest</t>
  </si>
  <si>
    <t>Operating Profit</t>
  </si>
  <si>
    <t>Depritiation &amp; Amortization</t>
  </si>
  <si>
    <t>Tax</t>
  </si>
  <si>
    <t>Ratios</t>
  </si>
  <si>
    <t>Year</t>
  </si>
  <si>
    <t>Leverage Analysis</t>
  </si>
  <si>
    <t>Debt</t>
  </si>
  <si>
    <t>Equity</t>
  </si>
  <si>
    <t>Debt - Equity</t>
  </si>
  <si>
    <t>Du-pont Analysis</t>
  </si>
  <si>
    <t>Tax Burdun</t>
  </si>
  <si>
    <t>Interest Burdon</t>
  </si>
  <si>
    <t>Operating Margin</t>
  </si>
  <si>
    <t>Asset Turnover</t>
  </si>
  <si>
    <t>Financial Leverage</t>
  </si>
  <si>
    <t>Profit Analysis</t>
  </si>
  <si>
    <t>Retrun on Equity</t>
  </si>
  <si>
    <t>Retrun on Asset</t>
  </si>
  <si>
    <t>Return on CapEm</t>
  </si>
  <si>
    <t>Gross Margin</t>
  </si>
  <si>
    <t>Net Margin</t>
  </si>
  <si>
    <t>Liquidity Analysis</t>
  </si>
  <si>
    <t>c</t>
  </si>
  <si>
    <t xml:space="preserve">Current </t>
  </si>
  <si>
    <t>Quick</t>
  </si>
  <si>
    <t>Cash</t>
  </si>
  <si>
    <t>Operating Cashflow</t>
  </si>
  <si>
    <t>Cashflow Analysis</t>
  </si>
  <si>
    <t>Free Cashflow</t>
  </si>
  <si>
    <t>Free Cashflow to Equity</t>
  </si>
  <si>
    <t>Free Cashflow to Firm</t>
  </si>
  <si>
    <t xml:space="preserve">Cashflow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</si>
</sst>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₹&quot;\ * #,##0.00_ ;_ &quot;₹&quot;\ * \-#,##0.00_ ;_ &quot;₹&quot;\ * &quot;-&quot;??_ ;_ @_ "/>
  </numFmts>
  <fonts count="7" x14ac:knownFonts="1">
    <font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18">
    <xf numFmtId="0" fontId="0" fillId="0" borderId="0" xfId="0"/>
    <xf numFmtId="4" fontId="0" fillId="0" borderId="0" xfId="0" applyNumberFormat="1"/>
    <xf numFmtId="0" fontId="1" fillId="0" borderId="0" xfId="0" applyFont="1" applyFill="1" applyAlignment="1">
      <alignment vertical="center"/>
    </xf>
    <xf numFmtId="0" fontId="0" fillId="0" borderId="0" xfId="0" applyNumberFormat="1" applyAlignment="1">
      <alignment horizontal="center"/>
    </xf>
    <xf numFmtId="0" fontId="0" fillId="5" borderId="0" xfId="0" applyFill="1"/>
    <xf numFmtId="0" fontId="5" fillId="0" borderId="0" xfId="0" applyFont="1"/>
    <xf numFmtId="9" fontId="0" fillId="0" borderId="0" xfId="1" applyFont="1"/>
    <xf numFmtId="0" fontId="0" fillId="0" borderId="0" xfId="0" applyFill="1"/>
    <xf numFmtId="0" fontId="0" fillId="0" borderId="0" xfId="0" applyFont="1" applyFill="1" applyAlignment="1">
      <alignment horizontal="center" vertical="center"/>
    </xf>
    <xf numFmtId="0" fontId="5" fillId="0" borderId="0" xfId="0" applyFont="1" applyFill="1" applyBorder="1"/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4" fontId="6" fillId="6" borderId="0" xfId="0" applyNumberFormat="1" applyFont="1" applyFill="1" applyAlignment="1">
      <alignment horizontal="left" vertical="center"/>
    </xf>
    <xf numFmtId="0" fontId="5" fillId="0" borderId="0" xfId="0" applyFont="1" applyFill="1"/>
    <xf numFmtId="44" fontId="0" fillId="0" borderId="0" xfId="2" applyFont="1"/>
    <xf numFmtId="44" fontId="0" fillId="0" borderId="0" xfId="2" applyFont="1" applyFill="1" applyAlignment="1">
      <alignment horizontal="right" vertical="center"/>
    </xf>
    <xf numFmtId="44" fontId="0" fillId="0" borderId="0" xfId="2" applyFont="1" applyAlignment="1">
      <alignment horizontal="right"/>
    </xf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518160</xdr:colOff>
      <xdr:row>0</xdr:row>
      <xdr:rowOff>60960</xdr:rowOff>
    </xdr:from>
    <xdr:to>
      <xdr:col>4</xdr:col>
      <xdr:colOff>525780</xdr:colOff>
      <xdr:row>1</xdr:row>
      <xdr:rowOff>137160</xdr:rowOff>
    </xdr:to>
    <xdr:sp macro="[0]!ReforBS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DAB40FF6-A7C2-4A4B-B268-88BAB017D0A9}"/>
            </a:ext>
          </a:extLst>
        </xdr:cNvPr>
        <xdr:cNvSpPr/>
      </xdr:nvSpPr>
      <xdr:spPr>
        <a:xfrm>
          <a:off x="2621280" y="60960"/>
          <a:ext cx="1226820" cy="259080"/>
        </a:xfrm>
        <a:prstGeom prst="round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>
              <a:solidFill>
                <a:sysClr val="windowText" lastClr="000000"/>
              </a:solidFill>
            </a:rPr>
            <a:t>Reformat</a:t>
          </a:r>
        </a:p>
      </xdr:txBody>
    </xdr:sp>
    <xdr:clientData/>
  </xdr:twoCellAnchor>
  <xdr:twoCellAnchor>
    <xdr:from>
      <xdr:col>6</xdr:col>
      <xdr:colOff>297180</xdr:colOff>
      <xdr:row>0</xdr:row>
      <xdr:rowOff>45720</xdr:rowOff>
    </xdr:from>
    <xdr:to>
      <xdr:col>8</xdr:col>
      <xdr:colOff>304800</xdr:colOff>
      <xdr:row>1</xdr:row>
      <xdr:rowOff>121920</xdr:rowOff>
    </xdr:to>
    <xdr:sp macro="[0]!ForeBS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AA7DDA1F-229C-4EF2-B9F8-1A134EA209A9}"/>
            </a:ext>
          </a:extLst>
        </xdr:cNvPr>
        <xdr:cNvSpPr/>
      </xdr:nvSpPr>
      <xdr:spPr>
        <a:xfrm>
          <a:off x="4838700" y="45720"/>
          <a:ext cx="1226820" cy="259080"/>
        </a:xfrm>
        <a:prstGeom prst="round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>
              <a:solidFill>
                <a:sysClr val="windowText" lastClr="000000"/>
              </a:solidFill>
            </a:rPr>
            <a:t>Forecaste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518160</xdr:colOff>
      <xdr:row>0</xdr:row>
      <xdr:rowOff>60960</xdr:rowOff>
    </xdr:from>
    <xdr:to>
      <xdr:col>4</xdr:col>
      <xdr:colOff>525780</xdr:colOff>
      <xdr:row>1</xdr:row>
      <xdr:rowOff>137160</xdr:rowOff>
    </xdr:to>
    <xdr:sp macro="[0]!ReforP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373E1B5-CA88-45DE-AACD-7591B2A3330F}"/>
            </a:ext>
          </a:extLst>
        </xdr:cNvPr>
        <xdr:cNvSpPr/>
      </xdr:nvSpPr>
      <xdr:spPr>
        <a:xfrm>
          <a:off x="4084320" y="60960"/>
          <a:ext cx="1508760" cy="259080"/>
        </a:xfrm>
        <a:prstGeom prst="round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>
              <a:solidFill>
                <a:sysClr val="windowText" lastClr="000000"/>
              </a:solidFill>
            </a:rPr>
            <a:t>Reformat</a:t>
          </a:r>
        </a:p>
      </xdr:txBody>
    </xdr:sp>
    <xdr:clientData/>
  </xdr:twoCellAnchor>
  <xdr:twoCellAnchor>
    <xdr:from>
      <xdr:col>6</xdr:col>
      <xdr:colOff>297180</xdr:colOff>
      <xdr:row>0</xdr:row>
      <xdr:rowOff>45720</xdr:rowOff>
    </xdr:from>
    <xdr:to>
      <xdr:col>8</xdr:col>
      <xdr:colOff>304800</xdr:colOff>
      <xdr:row>1</xdr:row>
      <xdr:rowOff>121920</xdr:rowOff>
    </xdr:to>
    <xdr:sp macro="[0]!ForePL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BF99476-ED50-4239-B628-761196D181E6}"/>
            </a:ext>
          </a:extLst>
        </xdr:cNvPr>
        <xdr:cNvSpPr/>
      </xdr:nvSpPr>
      <xdr:spPr>
        <a:xfrm>
          <a:off x="6934200" y="45720"/>
          <a:ext cx="1226820" cy="259080"/>
        </a:xfrm>
        <a:prstGeom prst="round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>
              <a:solidFill>
                <a:sysClr val="windowText" lastClr="000000"/>
              </a:solidFill>
            </a:rPr>
            <a:t>Forecaste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518160</xdr:colOff>
      <xdr:row>0</xdr:row>
      <xdr:rowOff>60960</xdr:rowOff>
    </xdr:from>
    <xdr:to>
      <xdr:col>4</xdr:col>
      <xdr:colOff>525780</xdr:colOff>
      <xdr:row>1</xdr:row>
      <xdr:rowOff>137160</xdr:rowOff>
    </xdr:to>
    <xdr:sp macro="[0]!ReforCF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DED5F03-F355-4B6A-9A1F-FDB7634CCF0A}"/>
            </a:ext>
          </a:extLst>
        </xdr:cNvPr>
        <xdr:cNvSpPr/>
      </xdr:nvSpPr>
      <xdr:spPr>
        <a:xfrm>
          <a:off x="4724400" y="60960"/>
          <a:ext cx="1440180" cy="259080"/>
        </a:xfrm>
        <a:prstGeom prst="round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>
              <a:solidFill>
                <a:sysClr val="windowText" lastClr="000000"/>
              </a:solidFill>
            </a:rPr>
            <a:t>Reformat</a:t>
          </a:r>
        </a:p>
      </xdr:txBody>
    </xdr:sp>
    <xdr:clientData/>
  </xdr:twoCellAnchor>
  <xdr:twoCellAnchor>
    <xdr:from>
      <xdr:col>6</xdr:col>
      <xdr:colOff>297180</xdr:colOff>
      <xdr:row>0</xdr:row>
      <xdr:rowOff>45720</xdr:rowOff>
    </xdr:from>
    <xdr:to>
      <xdr:col>8</xdr:col>
      <xdr:colOff>304800</xdr:colOff>
      <xdr:row>1</xdr:row>
      <xdr:rowOff>121920</xdr:rowOff>
    </xdr:to>
    <xdr:sp macro="[0]!ForeCF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0F59624-407D-466F-A1E9-C7A3A1A64B52}"/>
            </a:ext>
          </a:extLst>
        </xdr:cNvPr>
        <xdr:cNvSpPr/>
      </xdr:nvSpPr>
      <xdr:spPr>
        <a:xfrm>
          <a:off x="7368540" y="45720"/>
          <a:ext cx="1226820" cy="259080"/>
        </a:xfrm>
        <a:prstGeom prst="round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>
              <a:solidFill>
                <a:sysClr val="windowText" lastClr="000000"/>
              </a:solidFill>
            </a:rPr>
            <a:t>Forecaste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45720</xdr:rowOff>
    </xdr:from>
    <xdr:to>
      <xdr:col>7</xdr:col>
      <xdr:colOff>7620</xdr:colOff>
      <xdr:row>1</xdr:row>
      <xdr:rowOff>121920</xdr:rowOff>
    </xdr:to>
    <xdr:sp macro="[0]!Cf_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D1ADBD2-A55B-4E2A-8DC8-5F62A7FB51A6}"/>
            </a:ext>
          </a:extLst>
        </xdr:cNvPr>
        <xdr:cNvSpPr/>
      </xdr:nvSpPr>
      <xdr:spPr>
        <a:xfrm>
          <a:off x="3048000" y="45720"/>
          <a:ext cx="1226820" cy="259080"/>
        </a:xfrm>
        <a:prstGeom prst="round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>
              <a:solidFill>
                <a:sysClr val="windowText" lastClr="000000"/>
              </a:solidFill>
            </a:rPr>
            <a:t>Analyse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518160</xdr:colOff>
      <xdr:row>0</xdr:row>
      <xdr:rowOff>60960</xdr:rowOff>
    </xdr:from>
    <xdr:to>
      <xdr:col>4</xdr:col>
      <xdr:colOff>525780</xdr:colOff>
      <xdr:row>1</xdr:row>
      <xdr:rowOff>137160</xdr:rowOff>
    </xdr:to>
    <xdr:sp macro="[0]!PLA_Reforma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FEBFE1C-C3F7-47C8-8C30-70C61B9FAA69}"/>
            </a:ext>
          </a:extLst>
        </xdr:cNvPr>
        <xdr:cNvSpPr/>
      </xdr:nvSpPr>
      <xdr:spPr>
        <a:xfrm>
          <a:off x="4724400" y="60960"/>
          <a:ext cx="1440180" cy="259080"/>
        </a:xfrm>
        <a:prstGeom prst="round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>
              <a:solidFill>
                <a:sysClr val="windowText" lastClr="000000"/>
              </a:solidFill>
            </a:rPr>
            <a:t>Reformat</a:t>
          </a:r>
        </a:p>
      </xdr:txBody>
    </xdr:sp>
    <xdr:clientData/>
  </xdr:twoCellAnchor>
  <xdr:twoCellAnchor>
    <xdr:from>
      <xdr:col>6</xdr:col>
      <xdr:colOff>297180</xdr:colOff>
      <xdr:row>0</xdr:row>
      <xdr:rowOff>45720</xdr:rowOff>
    </xdr:from>
    <xdr:to>
      <xdr:col>8</xdr:col>
      <xdr:colOff>304800</xdr:colOff>
      <xdr:row>1</xdr:row>
      <xdr:rowOff>121920</xdr:rowOff>
    </xdr:to>
    <xdr:sp macro="[0]!PLA_Analys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6546E5B-F857-45D8-B65B-88BBBAC22812}"/>
            </a:ext>
          </a:extLst>
        </xdr:cNvPr>
        <xdr:cNvSpPr/>
      </xdr:nvSpPr>
      <xdr:spPr>
        <a:xfrm>
          <a:off x="7368540" y="45720"/>
          <a:ext cx="1226820" cy="259080"/>
        </a:xfrm>
        <a:prstGeom prst="round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>
              <a:solidFill>
                <a:sysClr val="windowText" lastClr="000000"/>
              </a:solidFill>
            </a:rPr>
            <a:t>Analyse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556260</xdr:colOff>
      <xdr:row>0</xdr:row>
      <xdr:rowOff>45720</xdr:rowOff>
    </xdr:from>
    <xdr:to>
      <xdr:col>5</xdr:col>
      <xdr:colOff>563880</xdr:colOff>
      <xdr:row>1</xdr:row>
      <xdr:rowOff>121920</xdr:rowOff>
    </xdr:to>
    <xdr:sp macro="[0]!LA_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34D25DB-3076-4F2A-B0A9-8053740A71BB}"/>
            </a:ext>
          </a:extLst>
        </xdr:cNvPr>
        <xdr:cNvSpPr/>
      </xdr:nvSpPr>
      <xdr:spPr>
        <a:xfrm>
          <a:off x="2842260" y="45720"/>
          <a:ext cx="1226820" cy="259080"/>
        </a:xfrm>
        <a:prstGeom prst="round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>
              <a:solidFill>
                <a:sysClr val="windowText" lastClr="000000"/>
              </a:solidFill>
            </a:rPr>
            <a:t>Analyse</a:t>
          </a:r>
        </a:p>
      </xdr:txBody>
    </xdr:sp>
    <xdr:clientData/>
  </xdr:twoCellAnchor>
  <xdr:twoCellAnchor>
    <xdr:from>
      <xdr:col>3</xdr:col>
      <xdr:colOff>556260</xdr:colOff>
      <xdr:row>7</xdr:row>
      <xdr:rowOff>45720</xdr:rowOff>
    </xdr:from>
    <xdr:to>
      <xdr:col>5</xdr:col>
      <xdr:colOff>563880</xdr:colOff>
      <xdr:row>8</xdr:row>
      <xdr:rowOff>121920</xdr:rowOff>
    </xdr:to>
    <xdr:sp macro="[0]!DU_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F052985-3B60-4553-8DD9-9C5A36FF6D56}"/>
            </a:ext>
          </a:extLst>
        </xdr:cNvPr>
        <xdr:cNvSpPr/>
      </xdr:nvSpPr>
      <xdr:spPr>
        <a:xfrm>
          <a:off x="2842260" y="45720"/>
          <a:ext cx="1226820" cy="259080"/>
        </a:xfrm>
        <a:prstGeom prst="round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>
              <a:solidFill>
                <a:sysClr val="windowText" lastClr="000000"/>
              </a:solidFill>
            </a:rPr>
            <a:t>Analyse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556260</xdr:colOff>
      <xdr:row>0</xdr:row>
      <xdr:rowOff>45720</xdr:rowOff>
    </xdr:from>
    <xdr:to>
      <xdr:col>5</xdr:col>
      <xdr:colOff>563880</xdr:colOff>
      <xdr:row>1</xdr:row>
      <xdr:rowOff>121920</xdr:rowOff>
    </xdr:to>
    <xdr:sp macro="[0]!P_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BE422F9-EC0E-4688-85EB-CA0DFD5795A0}"/>
            </a:ext>
          </a:extLst>
        </xdr:cNvPr>
        <xdr:cNvSpPr/>
      </xdr:nvSpPr>
      <xdr:spPr>
        <a:xfrm>
          <a:off x="3025140" y="45720"/>
          <a:ext cx="1226820" cy="259080"/>
        </a:xfrm>
        <a:prstGeom prst="round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>
              <a:solidFill>
                <a:sysClr val="windowText" lastClr="000000"/>
              </a:solidFill>
            </a:rPr>
            <a:t>Analyse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556260</xdr:colOff>
      <xdr:row>0</xdr:row>
      <xdr:rowOff>45720</xdr:rowOff>
    </xdr:from>
    <xdr:to>
      <xdr:col>5</xdr:col>
      <xdr:colOff>563880</xdr:colOff>
      <xdr:row>1</xdr:row>
      <xdr:rowOff>121920</xdr:rowOff>
    </xdr:to>
    <xdr:sp macro="[0]!lI_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540EE52-FF2D-431A-BD05-AD48DF8BA94F}"/>
            </a:ext>
          </a:extLst>
        </xdr:cNvPr>
        <xdr:cNvSpPr/>
      </xdr:nvSpPr>
      <xdr:spPr>
        <a:xfrm>
          <a:off x="2819400" y="45720"/>
          <a:ext cx="1226820" cy="259080"/>
        </a:xfrm>
        <a:prstGeom prst="round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>
              <a:solidFill>
                <a:sysClr val="windowText" lastClr="000000"/>
              </a:solidFill>
            </a:rPr>
            <a:t>Analyse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3F24C-1C7A-4F5A-B144-393D3AD07541}">
  <sheetPr codeName="Sheet1"/>
  <dimension ref="A1:S60"/>
  <sheetViews>
    <sheetView topLeftCell="A21" workbookViewId="0">
      <selection activeCell="B48" sqref="B48"/>
    </sheetView>
  </sheetViews>
  <sheetFormatPr defaultRowHeight="14.4" x14ac:dyDescent="0.3"/>
  <cols>
    <col min="1" max="1" width="40.5546875" bestFit="1" customWidth="1"/>
    <col min="2" max="3" width="11.44140625" bestFit="1" customWidth="1"/>
    <col min="4" max="4" width="10.44140625" bestFit="1" customWidth="1"/>
    <col min="5" max="6" width="11.44140625" bestFit="1" customWidth="1"/>
  </cols>
  <sheetData>
    <row r="1" spans="1:19" ht="14.4" customHeight="1" x14ac:dyDescent="0.3">
      <c r="A1" s="12" t="s">
        <v>0</v>
      </c>
      <c r="B1" s="12"/>
      <c r="C1" s="12"/>
      <c r="D1" s="12"/>
      <c r="E1" s="12"/>
      <c r="F1" s="12"/>
      <c r="G1" s="12"/>
      <c r="H1" s="12"/>
      <c r="I1" s="1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19" ht="14.4" customHeight="1" x14ac:dyDescent="0.3">
      <c r="A2" s="12"/>
      <c r="B2" s="12"/>
      <c r="C2" s="12"/>
      <c r="D2" s="12"/>
      <c r="E2" s="12"/>
      <c r="F2" s="12"/>
      <c r="G2" s="12"/>
      <c r="H2" s="12"/>
      <c r="I2" s="1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19" ht="21" x14ac:dyDescent="0.3">
      <c r="A3" s="4"/>
      <c r="B3" s="10" t="s">
        <v>7</v>
      </c>
      <c r="C3" s="10"/>
      <c r="D3" s="10"/>
      <c r="E3" s="10"/>
      <c r="F3" s="10"/>
      <c r="G3" s="11" t="s">
        <v>8</v>
      </c>
      <c r="H3" s="11"/>
      <c r="I3" s="11"/>
    </row>
    <row r="4" spans="1:19" x14ac:dyDescent="0.3">
      <c r="B4" s="3">
        <v>2016</v>
      </c>
      <c r="C4" s="3">
        <v>2017</v>
      </c>
      <c r="D4" s="3">
        <v>2018</v>
      </c>
      <c r="E4" s="3">
        <v>2019</v>
      </c>
      <c r="F4" s="3">
        <v>2020</v>
      </c>
      <c r="G4" s="3">
        <v>2021</v>
      </c>
      <c r="H4" s="3">
        <v>2022</v>
      </c>
      <c r="I4" s="3">
        <v>2023</v>
      </c>
    </row>
    <row r="5" spans="1:19" x14ac:dyDescent="0.3">
      <c r="A5" t="s">
        <v>9</v>
      </c>
      <c r="B5" s="1"/>
      <c r="C5" s="1"/>
      <c r="D5" s="1"/>
      <c r="E5" s="1"/>
      <c r="F5" s="1"/>
    </row>
    <row r="6" spans="1:19" x14ac:dyDescent="0.3">
      <c r="A6" t="s">
        <v>10</v>
      </c>
      <c r="B6" s="1"/>
      <c r="C6" s="1"/>
      <c r="D6" s="1"/>
      <c r="E6" s="1"/>
      <c r="F6" s="1"/>
      <c r="G6" t="str">
        <f>IF(OR($F6&gt;0,$F6="-"),_xlfn.FORECAST.LINEAR(G$4,B6:F6,$B$4:$F$4),"")</f>
        <v/>
      </c>
      <c r="H6" t="str">
        <f>IF(OR($F6&gt;0,$F6="-"),_xlfn.FORECAST.LINEAR(H$4,C6:G6,$B$4:$F$4),"")</f>
        <v/>
      </c>
      <c r="I6" t="str">
        <f>IF(OR($F6&gt;0,$F6="-"),_xlfn.FORECAST.LINEAR(I$4,D6:H6,$B$4:$F$4),"")</f>
        <v/>
      </c>
    </row>
    <row r="7" spans="1:19" x14ac:dyDescent="0.3">
      <c r="A7" t="s">
        <v>2</v>
      </c>
      <c r="B7" s="1">
        <v>2948</v>
      </c>
      <c r="C7" s="1">
        <v>2959</v>
      </c>
      <c r="D7" s="1">
        <v>5922</v>
      </c>
      <c r="E7" s="1">
        <v>5926</v>
      </c>
      <c r="F7" s="1">
        <v>6339</v>
      </c>
      <c r="G7">
        <f t="shared" ref="G7:G60" si="0">IF(OR($F7&gt;0,$F7="-"),_xlfn.FORECAST.LINEAR(G$4,B7:F7,$B$4:$F$4),"")</f>
        <v>7743.5</v>
      </c>
      <c r="H7">
        <f t="shared" ref="H7:H60" si="1">IF(OR($F7&gt;0,$F7="-"),_xlfn.FORECAST.LINEAR(H$4,C7:G7,$B$4:$F$4),"")</f>
        <v>9772.2999999998137</v>
      </c>
      <c r="I7">
        <f t="shared" ref="I7:I60" si="2">IF(OR($F7&gt;0,$F7="-"),_xlfn.FORECAST.LINEAR(I$4,D7:H7,$B$4:$F$4),"")</f>
        <v>11899.60999999987</v>
      </c>
    </row>
    <row r="8" spans="1:19" x14ac:dyDescent="0.3">
      <c r="A8" t="s">
        <v>1</v>
      </c>
      <c r="B8" s="1">
        <v>2948</v>
      </c>
      <c r="C8" s="1">
        <v>2959</v>
      </c>
      <c r="D8" s="1">
        <v>5922</v>
      </c>
      <c r="E8" s="1">
        <v>5926</v>
      </c>
      <c r="F8" s="1">
        <v>6339</v>
      </c>
      <c r="G8">
        <f t="shared" si="0"/>
        <v>7743.5</v>
      </c>
      <c r="H8">
        <f t="shared" si="1"/>
        <v>9772.2999999998137</v>
      </c>
      <c r="I8">
        <f t="shared" si="2"/>
        <v>11899.60999999987</v>
      </c>
    </row>
    <row r="9" spans="1:19" ht="14.4" customHeight="1" x14ac:dyDescent="0.3">
      <c r="A9" t="s">
        <v>11</v>
      </c>
      <c r="B9" s="1">
        <v>835</v>
      </c>
      <c r="C9" s="1">
        <v>870</v>
      </c>
      <c r="D9" s="1">
        <v>0</v>
      </c>
      <c r="E9" s="1">
        <v>0</v>
      </c>
      <c r="F9" s="1">
        <v>0</v>
      </c>
      <c r="G9" t="str">
        <f t="shared" si="0"/>
        <v/>
      </c>
      <c r="H9" t="str">
        <f t="shared" si="1"/>
        <v/>
      </c>
      <c r="I9" t="str">
        <f t="shared" si="2"/>
        <v/>
      </c>
    </row>
    <row r="10" spans="1:19" x14ac:dyDescent="0.3">
      <c r="A10" t="s">
        <v>12</v>
      </c>
      <c r="B10" s="1">
        <v>227765</v>
      </c>
      <c r="C10" s="1">
        <v>259876</v>
      </c>
      <c r="D10" s="1">
        <v>287569</v>
      </c>
      <c r="E10" s="1">
        <v>381186</v>
      </c>
      <c r="F10" s="1">
        <v>446992</v>
      </c>
      <c r="G10">
        <f t="shared" si="0"/>
        <v>488606.79999999702</v>
      </c>
      <c r="H10">
        <f t="shared" si="1"/>
        <v>619599.79999999702</v>
      </c>
      <c r="I10">
        <f t="shared" si="2"/>
        <v>830531.91999998689</v>
      </c>
    </row>
    <row r="11" spans="1:19" x14ac:dyDescent="0.3">
      <c r="A11" t="s">
        <v>13</v>
      </c>
      <c r="B11" s="1">
        <v>228600</v>
      </c>
      <c r="C11" s="1">
        <v>260746</v>
      </c>
      <c r="D11" s="1">
        <v>287569</v>
      </c>
      <c r="E11" s="1">
        <v>381186</v>
      </c>
      <c r="F11" s="1">
        <v>446992</v>
      </c>
      <c r="G11">
        <f t="shared" si="0"/>
        <v>488185.79999999702</v>
      </c>
      <c r="H11">
        <f t="shared" si="1"/>
        <v>618656.79999999702</v>
      </c>
      <c r="I11">
        <f t="shared" si="2"/>
        <v>829105.62000000477</v>
      </c>
    </row>
    <row r="12" spans="1:19" x14ac:dyDescent="0.3">
      <c r="A12" t="s">
        <v>14</v>
      </c>
      <c r="B12" s="1">
        <v>231548</v>
      </c>
      <c r="C12" s="1">
        <v>263705</v>
      </c>
      <c r="D12" s="1">
        <v>293491</v>
      </c>
      <c r="E12" s="1">
        <v>387112</v>
      </c>
      <c r="F12" s="1">
        <v>453331</v>
      </c>
      <c r="G12">
        <f t="shared" si="0"/>
        <v>495929.30000001192</v>
      </c>
      <c r="H12">
        <f t="shared" si="1"/>
        <v>628429.10000000894</v>
      </c>
      <c r="I12">
        <f t="shared" si="2"/>
        <v>841005.23000001907</v>
      </c>
    </row>
    <row r="13" spans="1:19" x14ac:dyDescent="0.3">
      <c r="A13" t="s">
        <v>15</v>
      </c>
      <c r="B13" s="1">
        <v>8</v>
      </c>
      <c r="C13" s="1">
        <v>4</v>
      </c>
      <c r="D13" s="1">
        <v>15</v>
      </c>
      <c r="E13" s="1">
        <v>0</v>
      </c>
      <c r="F13" s="1">
        <v>0</v>
      </c>
      <c r="G13" t="str">
        <f t="shared" si="0"/>
        <v/>
      </c>
      <c r="H13" t="str">
        <f t="shared" si="1"/>
        <v/>
      </c>
      <c r="I13" t="str">
        <f t="shared" si="2"/>
        <v/>
      </c>
    </row>
    <row r="14" spans="1:19" x14ac:dyDescent="0.3">
      <c r="A14" t="s">
        <v>16</v>
      </c>
      <c r="B14" s="1">
        <v>3356</v>
      </c>
      <c r="C14" s="1">
        <v>2917</v>
      </c>
      <c r="D14" s="1">
        <v>3539</v>
      </c>
      <c r="E14" s="1">
        <v>8280</v>
      </c>
      <c r="F14" s="1">
        <v>8016</v>
      </c>
      <c r="G14">
        <f t="shared" si="0"/>
        <v>9626.5</v>
      </c>
      <c r="H14">
        <f t="shared" si="1"/>
        <v>13634.100000000093</v>
      </c>
      <c r="I14">
        <f t="shared" si="2"/>
        <v>19387.469999999739</v>
      </c>
    </row>
    <row r="15" spans="1:19" x14ac:dyDescent="0.3">
      <c r="A15" t="s">
        <v>17</v>
      </c>
      <c r="B15" s="1"/>
      <c r="C15" s="1"/>
      <c r="D15" s="1"/>
      <c r="E15" s="1"/>
      <c r="F15" s="1"/>
      <c r="G15" t="str">
        <f t="shared" si="0"/>
        <v/>
      </c>
      <c r="H15" t="str">
        <f t="shared" si="1"/>
        <v/>
      </c>
      <c r="I15" t="str">
        <f t="shared" si="2"/>
        <v/>
      </c>
    </row>
    <row r="16" spans="1:19" x14ac:dyDescent="0.3">
      <c r="A16" t="s">
        <v>18</v>
      </c>
      <c r="B16" s="1">
        <v>141647</v>
      </c>
      <c r="C16" s="1">
        <v>152148</v>
      </c>
      <c r="D16" s="1">
        <v>144175</v>
      </c>
      <c r="E16" s="1">
        <v>207506</v>
      </c>
      <c r="F16" s="1">
        <v>197631</v>
      </c>
      <c r="G16">
        <f t="shared" si="0"/>
        <v>218819.19999999553</v>
      </c>
      <c r="H16">
        <f t="shared" si="1"/>
        <v>258775.19999999553</v>
      </c>
      <c r="I16">
        <f t="shared" si="2"/>
        <v>325638.07999999821</v>
      </c>
    </row>
    <row r="17" spans="1:9" x14ac:dyDescent="0.3">
      <c r="A17" t="s">
        <v>19</v>
      </c>
      <c r="B17" s="1">
        <v>20494</v>
      </c>
      <c r="C17" s="1">
        <v>26735</v>
      </c>
      <c r="D17" s="1">
        <v>29618</v>
      </c>
      <c r="E17" s="1">
        <v>49923</v>
      </c>
      <c r="F17" s="1">
        <v>54123</v>
      </c>
      <c r="G17">
        <f t="shared" si="0"/>
        <v>63312.400000002235</v>
      </c>
      <c r="H17">
        <f t="shared" si="1"/>
        <v>83806.20000000298</v>
      </c>
      <c r="I17">
        <f t="shared" si="2"/>
        <v>117039.42000000179</v>
      </c>
    </row>
    <row r="18" spans="1:9" x14ac:dyDescent="0.3">
      <c r="A18" t="s">
        <v>20</v>
      </c>
      <c r="B18" s="1">
        <v>15559</v>
      </c>
      <c r="C18" s="1">
        <v>29162</v>
      </c>
      <c r="D18" s="1">
        <v>28752</v>
      </c>
      <c r="E18" s="1">
        <v>29407</v>
      </c>
      <c r="F18" s="1">
        <v>38108</v>
      </c>
      <c r="G18">
        <f t="shared" si="0"/>
        <v>41800.5</v>
      </c>
      <c r="H18">
        <f t="shared" si="1"/>
        <v>47299.100000000559</v>
      </c>
      <c r="I18">
        <f t="shared" si="2"/>
        <v>61817.170000001788</v>
      </c>
    </row>
    <row r="19" spans="1:9" x14ac:dyDescent="0.3">
      <c r="A19" t="s">
        <v>21</v>
      </c>
      <c r="B19" s="1">
        <v>1231</v>
      </c>
      <c r="C19" s="1">
        <v>2353</v>
      </c>
      <c r="D19" s="1">
        <v>2906</v>
      </c>
      <c r="E19" s="1">
        <v>2856</v>
      </c>
      <c r="F19" s="1">
        <v>1790</v>
      </c>
      <c r="G19">
        <f t="shared" si="0"/>
        <v>2713.5</v>
      </c>
      <c r="H19">
        <f t="shared" si="1"/>
        <v>2365.6999999999971</v>
      </c>
      <c r="I19">
        <f t="shared" si="2"/>
        <v>1914.6900000000023</v>
      </c>
    </row>
    <row r="20" spans="1:9" ht="14.4" customHeight="1" x14ac:dyDescent="0.3">
      <c r="A20" t="s">
        <v>22</v>
      </c>
      <c r="B20" s="1">
        <v>178931</v>
      </c>
      <c r="C20" s="1">
        <v>210398</v>
      </c>
      <c r="D20" s="1">
        <v>205451</v>
      </c>
      <c r="E20" s="1">
        <v>289692</v>
      </c>
      <c r="F20" s="1">
        <v>291652</v>
      </c>
      <c r="G20">
        <f t="shared" si="0"/>
        <v>326645.59999999404</v>
      </c>
      <c r="H20">
        <f t="shared" si="1"/>
        <v>392246.19999999553</v>
      </c>
      <c r="I20">
        <f t="shared" si="2"/>
        <v>506409.3599999845</v>
      </c>
    </row>
    <row r="21" spans="1:9" x14ac:dyDescent="0.3">
      <c r="A21" t="s">
        <v>23</v>
      </c>
      <c r="B21" s="1"/>
      <c r="C21" s="1"/>
      <c r="D21" s="1"/>
      <c r="E21" s="1"/>
      <c r="F21" s="1"/>
      <c r="G21" t="str">
        <f t="shared" si="0"/>
        <v/>
      </c>
      <c r="H21" t="str">
        <f t="shared" si="1"/>
        <v/>
      </c>
      <c r="I21" t="str">
        <f t="shared" si="2"/>
        <v/>
      </c>
    </row>
    <row r="22" spans="1:9" x14ac:dyDescent="0.3">
      <c r="A22" t="s">
        <v>24</v>
      </c>
      <c r="B22" s="1">
        <v>23545</v>
      </c>
      <c r="C22" s="1">
        <v>31528</v>
      </c>
      <c r="D22" s="1">
        <v>37429</v>
      </c>
      <c r="E22" s="1">
        <v>64436</v>
      </c>
      <c r="F22" s="1">
        <v>93786</v>
      </c>
      <c r="G22">
        <f t="shared" si="0"/>
        <v>102161.79999999702</v>
      </c>
      <c r="H22">
        <f t="shared" si="1"/>
        <v>144917.99999999255</v>
      </c>
      <c r="I22">
        <f t="shared" si="2"/>
        <v>214898.05999998748</v>
      </c>
    </row>
    <row r="23" spans="1:9" x14ac:dyDescent="0.3">
      <c r="A23" t="s">
        <v>25</v>
      </c>
      <c r="B23" s="1">
        <v>60296</v>
      </c>
      <c r="C23" s="1">
        <v>76595</v>
      </c>
      <c r="D23" s="1">
        <v>106861</v>
      </c>
      <c r="E23" s="1">
        <v>108309</v>
      </c>
      <c r="F23" s="1">
        <v>96799</v>
      </c>
      <c r="G23">
        <f t="shared" si="0"/>
        <v>121188</v>
      </c>
      <c r="H23">
        <f t="shared" si="1"/>
        <v>133600</v>
      </c>
      <c r="I23">
        <f t="shared" si="2"/>
        <v>146529.90000000037</v>
      </c>
    </row>
    <row r="24" spans="1:9" x14ac:dyDescent="0.3">
      <c r="A24" t="s">
        <v>26</v>
      </c>
      <c r="B24" s="1">
        <v>99538</v>
      </c>
      <c r="C24" s="1">
        <v>125423</v>
      </c>
      <c r="D24" s="1">
        <v>168330</v>
      </c>
      <c r="E24" s="1">
        <v>143251</v>
      </c>
      <c r="F24" s="1">
        <v>220441</v>
      </c>
      <c r="G24">
        <f t="shared" si="0"/>
        <v>229286.80000000447</v>
      </c>
      <c r="H24">
        <f t="shared" si="1"/>
        <v>281281.80000000447</v>
      </c>
      <c r="I24">
        <f t="shared" si="2"/>
        <v>364487.8200000152</v>
      </c>
    </row>
    <row r="25" spans="1:9" x14ac:dyDescent="0.3">
      <c r="A25" t="s">
        <v>27</v>
      </c>
      <c r="B25" s="1">
        <v>1775</v>
      </c>
      <c r="C25" s="1">
        <v>1769</v>
      </c>
      <c r="D25" s="1">
        <v>1232</v>
      </c>
      <c r="E25" s="1">
        <v>1326</v>
      </c>
      <c r="F25" s="1">
        <v>1890</v>
      </c>
      <c r="G25">
        <f t="shared" si="0"/>
        <v>1534.5</v>
      </c>
      <c r="H25">
        <f t="shared" si="1"/>
        <v>1625.9000000000015</v>
      </c>
      <c r="I25">
        <f t="shared" si="2"/>
        <v>2019.8300000000163</v>
      </c>
    </row>
    <row r="26" spans="1:9" x14ac:dyDescent="0.3">
      <c r="A26" t="s">
        <v>28</v>
      </c>
      <c r="B26" s="1">
        <v>185154</v>
      </c>
      <c r="C26" s="1">
        <v>235315</v>
      </c>
      <c r="D26" s="1">
        <v>313852</v>
      </c>
      <c r="E26" s="1">
        <v>317322</v>
      </c>
      <c r="F26" s="1">
        <v>412916</v>
      </c>
      <c r="G26">
        <f t="shared" si="0"/>
        <v>454171.09999999404</v>
      </c>
      <c r="H26">
        <f t="shared" si="1"/>
        <v>561425.69999998808</v>
      </c>
      <c r="I26">
        <f t="shared" si="2"/>
        <v>727935.6099999845</v>
      </c>
    </row>
    <row r="27" spans="1:9" x14ac:dyDescent="0.3">
      <c r="A27" t="s">
        <v>29</v>
      </c>
      <c r="B27" s="1">
        <v>598997</v>
      </c>
      <c r="C27" s="1">
        <v>712339</v>
      </c>
      <c r="D27" s="1">
        <v>816348</v>
      </c>
      <c r="E27" s="1">
        <v>1002406</v>
      </c>
      <c r="F27" s="1">
        <v>1165915</v>
      </c>
      <c r="G27">
        <f t="shared" si="0"/>
        <v>1286371.8999999762</v>
      </c>
      <c r="H27">
        <f t="shared" si="1"/>
        <v>1595729.1000000238</v>
      </c>
      <c r="I27">
        <f t="shared" si="2"/>
        <v>2094718.0500000119</v>
      </c>
    </row>
    <row r="28" spans="1:9" x14ac:dyDescent="0.3">
      <c r="A28" t="s">
        <v>30</v>
      </c>
      <c r="B28" s="1"/>
      <c r="C28" s="1"/>
      <c r="D28" s="1"/>
      <c r="E28" s="1"/>
      <c r="F28" s="1"/>
      <c r="G28" t="str">
        <f t="shared" si="0"/>
        <v/>
      </c>
      <c r="H28" t="str">
        <f t="shared" si="1"/>
        <v/>
      </c>
      <c r="I28" t="str">
        <f t="shared" si="2"/>
        <v/>
      </c>
    </row>
    <row r="29" spans="1:9" x14ac:dyDescent="0.3">
      <c r="A29" t="s">
        <v>31</v>
      </c>
      <c r="B29" s="1"/>
      <c r="C29" s="1"/>
      <c r="D29" s="1"/>
      <c r="E29" s="1"/>
      <c r="F29" s="1"/>
      <c r="G29" t="str">
        <f t="shared" si="0"/>
        <v/>
      </c>
      <c r="H29" t="str">
        <f t="shared" si="1"/>
        <v/>
      </c>
      <c r="I29" t="str">
        <f t="shared" si="2"/>
        <v/>
      </c>
    </row>
    <row r="30" spans="1:9" x14ac:dyDescent="0.3">
      <c r="A30" t="s">
        <v>32</v>
      </c>
      <c r="B30" s="1">
        <v>157825</v>
      </c>
      <c r="C30" s="1">
        <v>170483</v>
      </c>
      <c r="D30" s="1">
        <v>316031</v>
      </c>
      <c r="E30" s="1">
        <v>302115</v>
      </c>
      <c r="F30" s="1">
        <v>435920</v>
      </c>
      <c r="G30">
        <f t="shared" si="0"/>
        <v>482821.40000000596</v>
      </c>
      <c r="H30">
        <f t="shared" si="1"/>
        <v>639300.40000000596</v>
      </c>
      <c r="I30">
        <f t="shared" si="2"/>
        <v>848860.15999999642</v>
      </c>
    </row>
    <row r="31" spans="1:9" x14ac:dyDescent="0.3">
      <c r="A31" t="s">
        <v>33</v>
      </c>
      <c r="B31" s="1">
        <v>22831</v>
      </c>
      <c r="C31" s="1">
        <v>23151</v>
      </c>
      <c r="D31" s="1">
        <v>82041</v>
      </c>
      <c r="E31" s="1">
        <v>84262</v>
      </c>
      <c r="F31" s="1">
        <v>86479</v>
      </c>
      <c r="G31">
        <f t="shared" si="0"/>
        <v>116274.89999999851</v>
      </c>
      <c r="H31">
        <f t="shared" si="1"/>
        <v>154715.89999999851</v>
      </c>
      <c r="I31">
        <f t="shared" si="2"/>
        <v>193435.91000000387</v>
      </c>
    </row>
    <row r="32" spans="1:9" x14ac:dyDescent="0.3">
      <c r="A32" t="s">
        <v>34</v>
      </c>
      <c r="B32" s="1">
        <v>170397</v>
      </c>
      <c r="C32" s="1">
        <v>250377</v>
      </c>
      <c r="D32" s="1">
        <v>166220</v>
      </c>
      <c r="E32" s="1">
        <v>150178</v>
      </c>
      <c r="F32" s="1">
        <v>59096</v>
      </c>
      <c r="G32">
        <f t="shared" si="0"/>
        <v>62413.30000000447</v>
      </c>
      <c r="H32">
        <f t="shared" si="1"/>
        <v>-55563.70000000298</v>
      </c>
      <c r="I32">
        <f t="shared" si="2"/>
        <v>-189197.33000001311</v>
      </c>
    </row>
    <row r="33" spans="1:9" x14ac:dyDescent="0.3">
      <c r="A33" t="s">
        <v>35</v>
      </c>
      <c r="B33" s="1">
        <v>58300</v>
      </c>
      <c r="C33" s="1">
        <v>74460</v>
      </c>
      <c r="D33" s="1">
        <v>20802</v>
      </c>
      <c r="E33" s="1">
        <v>29285</v>
      </c>
      <c r="F33" s="1">
        <v>50010</v>
      </c>
      <c r="G33">
        <f t="shared" si="0"/>
        <v>28044.900000000373</v>
      </c>
      <c r="H33">
        <f t="shared" si="1"/>
        <v>15071.500000001863</v>
      </c>
      <c r="I33">
        <f t="shared" si="2"/>
        <v>22292.130000002682</v>
      </c>
    </row>
    <row r="34" spans="1:9" x14ac:dyDescent="0.3">
      <c r="A34" t="s">
        <v>36</v>
      </c>
      <c r="B34" s="1">
        <v>409353</v>
      </c>
      <c r="C34" s="1">
        <v>518471</v>
      </c>
      <c r="D34" s="1">
        <v>585094</v>
      </c>
      <c r="E34" s="1">
        <v>565840</v>
      </c>
      <c r="F34" s="1">
        <v>631505</v>
      </c>
      <c r="G34">
        <f t="shared" si="0"/>
        <v>689554.5</v>
      </c>
      <c r="H34">
        <f t="shared" si="1"/>
        <v>753524.10000000894</v>
      </c>
      <c r="I34">
        <f t="shared" si="2"/>
        <v>875390.87000000477</v>
      </c>
    </row>
    <row r="35" spans="1:9" x14ac:dyDescent="0.3">
      <c r="A35" t="s">
        <v>37</v>
      </c>
      <c r="B35" s="1">
        <v>41512</v>
      </c>
      <c r="C35" s="1">
        <v>25639</v>
      </c>
      <c r="D35" s="1">
        <v>25259</v>
      </c>
      <c r="E35" s="1">
        <v>164612</v>
      </c>
      <c r="F35" s="1">
        <v>203852</v>
      </c>
      <c r="G35">
        <f t="shared" si="0"/>
        <v>231270.70000000298</v>
      </c>
      <c r="H35">
        <f t="shared" si="1"/>
        <v>366069.10000000894</v>
      </c>
      <c r="I35">
        <f t="shared" si="2"/>
        <v>572352.00999999046</v>
      </c>
    </row>
    <row r="36" spans="1:9" x14ac:dyDescent="0.3">
      <c r="A36" t="s">
        <v>38</v>
      </c>
      <c r="B36" s="1">
        <v>0</v>
      </c>
      <c r="C36" s="1">
        <v>5537</v>
      </c>
      <c r="D36" s="1">
        <v>5075</v>
      </c>
      <c r="E36" s="1">
        <v>4776</v>
      </c>
      <c r="F36" s="1">
        <v>2900</v>
      </c>
      <c r="G36">
        <f t="shared" si="0"/>
        <v>5169.2999999999302</v>
      </c>
      <c r="H36">
        <f t="shared" si="1"/>
        <v>3527.2999999999302</v>
      </c>
      <c r="I36">
        <f t="shared" si="2"/>
        <v>2938.4699999998556</v>
      </c>
    </row>
    <row r="37" spans="1:9" x14ac:dyDescent="0.3">
      <c r="A37" t="s">
        <v>39</v>
      </c>
      <c r="B37" s="1">
        <v>2032</v>
      </c>
      <c r="C37" s="1">
        <v>2708</v>
      </c>
      <c r="D37" s="1">
        <v>2668</v>
      </c>
      <c r="E37" s="1">
        <v>5452</v>
      </c>
      <c r="F37" s="1">
        <v>21732</v>
      </c>
      <c r="G37">
        <f t="shared" si="0"/>
        <v>19561.599999999627</v>
      </c>
      <c r="H37">
        <f t="shared" si="1"/>
        <v>31532.800000000745</v>
      </c>
      <c r="I37">
        <f t="shared" si="2"/>
        <v>52108.879999998957</v>
      </c>
    </row>
    <row r="38" spans="1:9" x14ac:dyDescent="0.3">
      <c r="A38" t="s">
        <v>40</v>
      </c>
      <c r="B38" s="1">
        <v>14061</v>
      </c>
      <c r="C38" s="1">
        <v>8279</v>
      </c>
      <c r="D38" s="1">
        <v>8653</v>
      </c>
      <c r="E38" s="1">
        <v>17676</v>
      </c>
      <c r="F38" s="1">
        <v>37407</v>
      </c>
      <c r="G38">
        <f t="shared" si="0"/>
        <v>34041.89999999851</v>
      </c>
      <c r="H38">
        <f t="shared" si="1"/>
        <v>53323.29999999702</v>
      </c>
      <c r="I38">
        <f t="shared" si="2"/>
        <v>83073.489999994636</v>
      </c>
    </row>
    <row r="39" spans="1:9" x14ac:dyDescent="0.3">
      <c r="A39" t="s">
        <v>41</v>
      </c>
      <c r="B39" s="1">
        <v>471212</v>
      </c>
      <c r="C39" s="1">
        <v>565526</v>
      </c>
      <c r="D39" s="1">
        <v>632562</v>
      </c>
      <c r="E39" s="1">
        <v>770353</v>
      </c>
      <c r="F39" s="1">
        <v>907655</v>
      </c>
      <c r="G39">
        <f t="shared" si="0"/>
        <v>992775.5</v>
      </c>
      <c r="H39">
        <f t="shared" si="1"/>
        <v>1225611.1000000238</v>
      </c>
      <c r="I39">
        <f t="shared" si="2"/>
        <v>1610051.6700000167</v>
      </c>
    </row>
    <row r="40" spans="1:9" x14ac:dyDescent="0.3">
      <c r="A40" t="s">
        <v>42</v>
      </c>
      <c r="B40" s="1"/>
      <c r="C40" s="1"/>
      <c r="D40" s="1"/>
      <c r="F40" s="1"/>
      <c r="G40" t="str">
        <f t="shared" si="0"/>
        <v/>
      </c>
      <c r="H40" t="str">
        <f t="shared" si="1"/>
        <v/>
      </c>
      <c r="I40" t="str">
        <f t="shared" si="2"/>
        <v/>
      </c>
    </row>
    <row r="41" spans="1:9" x14ac:dyDescent="0.3">
      <c r="A41" t="s">
        <v>43</v>
      </c>
      <c r="B41" s="1">
        <v>42503</v>
      </c>
      <c r="C41" s="1">
        <v>57260</v>
      </c>
      <c r="D41" s="1">
        <v>57603</v>
      </c>
      <c r="E41" s="1">
        <v>71023</v>
      </c>
      <c r="F41" s="1">
        <v>72915</v>
      </c>
      <c r="G41">
        <f t="shared" si="0"/>
        <v>82636.900000000373</v>
      </c>
      <c r="H41">
        <f t="shared" si="1"/>
        <v>94713.900000000373</v>
      </c>
      <c r="I41">
        <f t="shared" si="2"/>
        <v>118696.21000000089</v>
      </c>
    </row>
    <row r="42" spans="1:9" x14ac:dyDescent="0.3">
      <c r="A42" t="s">
        <v>6</v>
      </c>
      <c r="B42" s="1">
        <v>46486</v>
      </c>
      <c r="C42" s="1">
        <v>48951</v>
      </c>
      <c r="D42" s="1">
        <v>60837</v>
      </c>
      <c r="E42" s="1">
        <v>67561</v>
      </c>
      <c r="F42" s="1">
        <v>73903</v>
      </c>
      <c r="G42">
        <f t="shared" si="0"/>
        <v>81580.799999998882</v>
      </c>
      <c r="H42">
        <f t="shared" si="1"/>
        <v>97896.799999998882</v>
      </c>
      <c r="I42">
        <f t="shared" si="2"/>
        <v>120425.41999999434</v>
      </c>
    </row>
    <row r="43" spans="1:9" x14ac:dyDescent="0.3">
      <c r="A43" t="s">
        <v>44</v>
      </c>
      <c r="B43" s="1">
        <v>4465</v>
      </c>
      <c r="C43" s="1">
        <v>8177</v>
      </c>
      <c r="D43" s="1">
        <v>17555</v>
      </c>
      <c r="E43" s="1">
        <v>30089</v>
      </c>
      <c r="F43" s="1">
        <v>19656</v>
      </c>
      <c r="G43">
        <f t="shared" si="0"/>
        <v>31676.599999999627</v>
      </c>
      <c r="H43">
        <f t="shared" si="1"/>
        <v>41070.800000000745</v>
      </c>
      <c r="I43">
        <f t="shared" si="2"/>
        <v>52319.080000000075</v>
      </c>
    </row>
    <row r="44" spans="1:9" x14ac:dyDescent="0.3">
      <c r="A44" t="s">
        <v>45</v>
      </c>
      <c r="B44" s="1">
        <v>11869</v>
      </c>
      <c r="C44" s="1">
        <v>3023</v>
      </c>
      <c r="D44" s="1">
        <v>4255</v>
      </c>
      <c r="E44" s="1">
        <v>11081</v>
      </c>
      <c r="F44" s="1">
        <v>30920</v>
      </c>
      <c r="G44">
        <f t="shared" si="0"/>
        <v>26077.599999999627</v>
      </c>
      <c r="H44">
        <f t="shared" si="1"/>
        <v>44181</v>
      </c>
      <c r="I44">
        <f t="shared" si="2"/>
        <v>70727.219999995083</v>
      </c>
    </row>
    <row r="45" spans="1:9" x14ac:dyDescent="0.3">
      <c r="A45" t="s">
        <v>46</v>
      </c>
      <c r="B45">
        <v>0</v>
      </c>
      <c r="C45">
        <v>996</v>
      </c>
      <c r="D45" s="1">
        <v>2327</v>
      </c>
      <c r="E45">
        <v>545</v>
      </c>
      <c r="F45">
        <v>669</v>
      </c>
      <c r="G45">
        <f t="shared" si="0"/>
        <v>1173.5</v>
      </c>
      <c r="H45">
        <f t="shared" si="1"/>
        <v>620.89999999996508</v>
      </c>
      <c r="I45">
        <f t="shared" si="2"/>
        <v>-324.77000000001863</v>
      </c>
    </row>
    <row r="46" spans="1:9" x14ac:dyDescent="0.3">
      <c r="A46" t="s">
        <v>47</v>
      </c>
      <c r="B46" s="1">
        <v>22462</v>
      </c>
      <c r="C46" s="1">
        <v>28406</v>
      </c>
      <c r="D46" s="1">
        <v>41209</v>
      </c>
      <c r="E46" s="1">
        <v>51754</v>
      </c>
      <c r="F46" s="1">
        <v>60197</v>
      </c>
      <c r="G46">
        <f t="shared" si="0"/>
        <v>70451</v>
      </c>
      <c r="H46">
        <f t="shared" si="1"/>
        <v>91634.599999997765</v>
      </c>
      <c r="I46">
        <f t="shared" si="2"/>
        <v>122823.21999999881</v>
      </c>
    </row>
    <row r="47" spans="1:9" x14ac:dyDescent="0.3">
      <c r="A47" t="s">
        <v>3</v>
      </c>
      <c r="B47" s="1">
        <v>258260</v>
      </c>
      <c r="C47" s="1">
        <v>232053</v>
      </c>
      <c r="D47" s="1">
        <v>183786</v>
      </c>
      <c r="E47" s="1">
        <v>146813</v>
      </c>
      <c r="F47" s="1">
        <v>127785</v>
      </c>
      <c r="G47">
        <f t="shared" si="0"/>
        <v>85882.40000000596</v>
      </c>
      <c r="H47">
        <f t="shared" si="1"/>
        <v>15927</v>
      </c>
      <c r="I47">
        <f t="shared" si="2"/>
        <v>-86285.619999989867</v>
      </c>
    </row>
    <row r="48" spans="1:9" x14ac:dyDescent="0.3">
      <c r="A48" t="s">
        <v>4</v>
      </c>
      <c r="B48" s="1">
        <v>1165915</v>
      </c>
      <c r="C48" s="1">
        <v>1002406</v>
      </c>
      <c r="D48" s="1">
        <v>816348</v>
      </c>
      <c r="E48" s="1">
        <v>712339</v>
      </c>
      <c r="F48" s="1">
        <v>598997</v>
      </c>
      <c r="G48">
        <f t="shared" si="0"/>
        <v>432030.10000002384</v>
      </c>
      <c r="H48">
        <f t="shared" si="1"/>
        <v>169182.89999997616</v>
      </c>
      <c r="I48">
        <f t="shared" si="2"/>
        <v>-241540.15000003576</v>
      </c>
    </row>
    <row r="49" spans="1:9" x14ac:dyDescent="0.3">
      <c r="A49" t="s">
        <v>48</v>
      </c>
      <c r="G49" t="str">
        <f t="shared" si="0"/>
        <v/>
      </c>
      <c r="H49" t="str">
        <f t="shared" si="1"/>
        <v/>
      </c>
      <c r="I49" t="str">
        <f t="shared" si="2"/>
        <v/>
      </c>
    </row>
    <row r="50" spans="1:9" x14ac:dyDescent="0.3">
      <c r="A50" t="s">
        <v>49</v>
      </c>
      <c r="B50" s="1"/>
      <c r="C50" s="1"/>
      <c r="F50" s="1"/>
      <c r="G50" t="str">
        <f t="shared" si="0"/>
        <v/>
      </c>
      <c r="H50" t="str">
        <f t="shared" si="1"/>
        <v/>
      </c>
      <c r="I50" t="str">
        <f t="shared" si="2"/>
        <v/>
      </c>
    </row>
    <row r="51" spans="1:9" x14ac:dyDescent="0.3">
      <c r="A51" t="s">
        <v>5</v>
      </c>
      <c r="B51" s="1">
        <v>54891</v>
      </c>
      <c r="C51" s="1">
        <v>50904</v>
      </c>
      <c r="D51" s="1">
        <v>60997</v>
      </c>
      <c r="E51" s="1">
        <v>76941</v>
      </c>
      <c r="F51" s="1">
        <v>71110</v>
      </c>
      <c r="G51">
        <f t="shared" si="0"/>
        <v>80511.099999999627</v>
      </c>
      <c r="H51">
        <f t="shared" si="1"/>
        <v>95823.499999998137</v>
      </c>
      <c r="I51">
        <f t="shared" si="2"/>
        <v>113688.06999999844</v>
      </c>
    </row>
    <row r="52" spans="1:9" x14ac:dyDescent="0.3">
      <c r="A52" t="s">
        <v>50</v>
      </c>
      <c r="B52" s="1"/>
      <c r="C52" s="1"/>
      <c r="F52" s="1"/>
      <c r="G52" t="str">
        <f t="shared" si="0"/>
        <v/>
      </c>
      <c r="H52" t="str">
        <f t="shared" si="1"/>
        <v/>
      </c>
      <c r="I52" t="str">
        <f t="shared" si="2"/>
        <v/>
      </c>
    </row>
    <row r="53" spans="1:9" x14ac:dyDescent="0.3">
      <c r="A53" t="s">
        <v>51</v>
      </c>
      <c r="B53" s="1">
        <v>5188.8900000000003</v>
      </c>
      <c r="C53" s="1">
        <v>5188.8900000000003</v>
      </c>
      <c r="D53" s="1">
        <v>5188.8900000000003</v>
      </c>
      <c r="E53" s="1">
        <v>2108.56</v>
      </c>
      <c r="F53" s="1">
        <v>2108.56</v>
      </c>
      <c r="G53">
        <f t="shared" si="0"/>
        <v>1184.4609999998938</v>
      </c>
      <c r="H53">
        <f t="shared" si="1"/>
        <v>-1279.8029999998398</v>
      </c>
      <c r="I53">
        <f t="shared" si="2"/>
        <v>-5068.6088999998756</v>
      </c>
    </row>
    <row r="54" spans="1:9" x14ac:dyDescent="0.3">
      <c r="A54" t="s">
        <v>52</v>
      </c>
      <c r="G54" t="str">
        <f t="shared" si="0"/>
        <v/>
      </c>
      <c r="H54" t="str">
        <f t="shared" si="1"/>
        <v/>
      </c>
      <c r="I54" t="str">
        <f t="shared" si="2"/>
        <v/>
      </c>
    </row>
    <row r="55" spans="1:9" x14ac:dyDescent="0.3">
      <c r="A55" t="s">
        <v>53</v>
      </c>
      <c r="B55" s="1">
        <v>174448</v>
      </c>
      <c r="C55" s="1">
        <v>143718</v>
      </c>
      <c r="D55">
        <v>0</v>
      </c>
      <c r="E55">
        <v>0</v>
      </c>
      <c r="F55" s="1">
        <v>1416</v>
      </c>
      <c r="G55">
        <f t="shared" si="0"/>
        <v>-83018.199999988079</v>
      </c>
      <c r="H55">
        <f t="shared" si="1"/>
        <v>-168399.39999999106</v>
      </c>
      <c r="I55">
        <f t="shared" si="2"/>
        <v>-259908.81999997795</v>
      </c>
    </row>
    <row r="56" spans="1:9" x14ac:dyDescent="0.3">
      <c r="A56" t="s">
        <v>54</v>
      </c>
      <c r="G56" t="str">
        <f t="shared" si="0"/>
        <v/>
      </c>
      <c r="H56" t="str">
        <f t="shared" si="1"/>
        <v/>
      </c>
      <c r="I56" t="str">
        <f t="shared" si="2"/>
        <v/>
      </c>
    </row>
    <row r="57" spans="1:9" x14ac:dyDescent="0.3">
      <c r="A57" t="s">
        <v>55</v>
      </c>
      <c r="B57" s="1">
        <v>40993</v>
      </c>
      <c r="C57" s="1">
        <v>44706</v>
      </c>
      <c r="D57">
        <v>0</v>
      </c>
      <c r="E57">
        <v>0</v>
      </c>
      <c r="F57" s="1">
        <v>32549</v>
      </c>
      <c r="G57">
        <f t="shared" si="0"/>
        <v>5171.4000000003725</v>
      </c>
      <c r="H57">
        <f t="shared" si="1"/>
        <v>-2122.8000000007451</v>
      </c>
      <c r="I57">
        <f t="shared" si="2"/>
        <v>7582.4199999993725</v>
      </c>
    </row>
    <row r="58" spans="1:9" x14ac:dyDescent="0.3">
      <c r="G58" t="str">
        <f t="shared" si="0"/>
        <v/>
      </c>
      <c r="H58" t="str">
        <f t="shared" si="1"/>
        <v/>
      </c>
      <c r="I58" t="str">
        <f t="shared" si="2"/>
        <v/>
      </c>
    </row>
    <row r="59" spans="1:9" x14ac:dyDescent="0.3">
      <c r="G59" t="str">
        <f t="shared" si="0"/>
        <v/>
      </c>
      <c r="H59" t="str">
        <f t="shared" si="1"/>
        <v/>
      </c>
      <c r="I59" t="str">
        <f t="shared" si="2"/>
        <v/>
      </c>
    </row>
    <row r="60" spans="1:9" x14ac:dyDescent="0.3">
      <c r="G60" t="str">
        <f t="shared" si="0"/>
        <v/>
      </c>
      <c r="H60" t="str">
        <f t="shared" si="1"/>
        <v/>
      </c>
      <c r="I60" t="str">
        <f t="shared" si="2"/>
        <v/>
      </c>
    </row>
  </sheetData>
  <mergeCells count="3">
    <mergeCell ref="B3:F3"/>
    <mergeCell ref="G3:I3"/>
    <mergeCell ref="A1:I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6409A-654C-42ED-B3E2-5719A7EFC74B}">
  <sheetPr codeName="Sheet2"/>
  <dimension ref="A1:I60"/>
  <sheetViews>
    <sheetView topLeftCell="A7" workbookViewId="0">
      <selection sqref="A1:I3"/>
    </sheetView>
  </sheetViews>
  <sheetFormatPr defaultRowHeight="14.4" x14ac:dyDescent="0.3"/>
  <cols>
    <col min="1" max="1" width="50.88671875" bestFit="1" customWidth="1"/>
    <col min="2" max="6" width="10.44140625" bestFit="1" customWidth="1"/>
  </cols>
  <sheetData>
    <row r="1" spans="1:9" x14ac:dyDescent="0.3">
      <c r="A1" s="12" t="s">
        <v>56</v>
      </c>
      <c r="B1" s="12"/>
      <c r="C1" s="12"/>
      <c r="D1" s="12"/>
      <c r="E1" s="12"/>
      <c r="F1" s="12"/>
      <c r="G1" s="12"/>
      <c r="H1" s="12"/>
      <c r="I1" s="12"/>
    </row>
    <row r="2" spans="1:9" x14ac:dyDescent="0.3">
      <c r="A2" s="12"/>
      <c r="B2" s="12"/>
      <c r="C2" s="12"/>
      <c r="D2" s="12"/>
      <c r="E2" s="12"/>
      <c r="F2" s="12"/>
      <c r="G2" s="12"/>
      <c r="H2" s="12"/>
      <c r="I2" s="12"/>
    </row>
    <row r="3" spans="1:9" ht="21" x14ac:dyDescent="0.3">
      <c r="A3" s="4"/>
      <c r="B3" s="10" t="s">
        <v>7</v>
      </c>
      <c r="C3" s="10"/>
      <c r="D3" s="10"/>
      <c r="E3" s="10"/>
      <c r="F3" s="10"/>
      <c r="G3" s="11" t="s">
        <v>8</v>
      </c>
      <c r="H3" s="11"/>
      <c r="I3" s="11"/>
    </row>
    <row r="4" spans="1:9" x14ac:dyDescent="0.3">
      <c r="B4" s="3">
        <v>2016</v>
      </c>
      <c r="C4" s="3">
        <v>2017</v>
      </c>
      <c r="D4" s="3">
        <v>2018</v>
      </c>
      <c r="E4" s="3">
        <v>2019</v>
      </c>
      <c r="F4" s="3">
        <v>2020</v>
      </c>
      <c r="G4" s="3">
        <v>2021</v>
      </c>
      <c r="H4" s="3">
        <v>2022</v>
      </c>
      <c r="I4" s="3">
        <v>2023</v>
      </c>
    </row>
    <row r="5" spans="1:9" x14ac:dyDescent="0.3">
      <c r="A5" t="s">
        <v>57</v>
      </c>
      <c r="B5" s="1"/>
      <c r="C5" s="1"/>
      <c r="D5" s="1"/>
      <c r="E5" s="1"/>
      <c r="F5" s="1"/>
    </row>
    <row r="6" spans="1:9" x14ac:dyDescent="0.3">
      <c r="A6" t="s">
        <v>58</v>
      </c>
      <c r="B6" s="1">
        <v>293298</v>
      </c>
      <c r="C6" s="1">
        <v>330180</v>
      </c>
      <c r="D6" s="1">
        <v>430731</v>
      </c>
      <c r="E6" s="1">
        <v>625212</v>
      </c>
      <c r="F6" s="1">
        <v>659205</v>
      </c>
      <c r="G6">
        <f>IF(OR($F6&gt;0,$F6="-"),_xlfn.FORECAST.LINEAR(G$4,B6:F6,$B$4:$F$4),"")</f>
        <v>775779</v>
      </c>
      <c r="H6">
        <f>IF(OR($F6&gt;0,$F6="-"),_xlfn.FORECAST.LINEAR(H$4,C6:G6,$B$4:$F$4),"")</f>
        <v>1012090.2000000179</v>
      </c>
      <c r="I6">
        <f>IF(OR($F6&gt;0,$F6="-"),_xlfn.FORECAST.LINEAR(I$4,D6:H6,$B$4:$F$4),"")</f>
        <v>1357246.1400000155</v>
      </c>
    </row>
    <row r="7" spans="1:9" x14ac:dyDescent="0.3">
      <c r="A7" t="s">
        <v>59</v>
      </c>
      <c r="B7" s="1">
        <v>19299</v>
      </c>
      <c r="C7" s="1">
        <v>24798</v>
      </c>
      <c r="D7" s="1">
        <v>39054</v>
      </c>
      <c r="E7" s="1">
        <v>56003</v>
      </c>
      <c r="F7" s="1">
        <v>62462</v>
      </c>
      <c r="G7">
        <f t="shared" ref="G7:G60" si="0">IF(OR($F7&gt;0,$F7="-"),_xlfn.FORECAST.LINEAR(G$4,B7:F7,$B$4:$F$4),"")</f>
        <v>75582.5</v>
      </c>
      <c r="H7">
        <f t="shared" ref="H7:H60" si="1">IF(OR($F7&gt;0,$F7="-"),_xlfn.FORECAST.LINEAR(H$4,C7:G7,$B$4:$F$4),"")</f>
        <v>101570.69999999925</v>
      </c>
      <c r="I7">
        <f t="shared" ref="I7:I60" si="2">IF(OR($F7&gt;0,$F7="-"),_xlfn.FORECAST.LINEAR(I$4,D7:H7,$B$4:$F$4),"")</f>
        <v>139240.8900000006</v>
      </c>
    </row>
    <row r="8" spans="1:9" x14ac:dyDescent="0.3">
      <c r="A8" t="s">
        <v>60</v>
      </c>
      <c r="B8" s="1">
        <v>273999</v>
      </c>
      <c r="C8" s="1">
        <v>305382</v>
      </c>
      <c r="D8" s="1">
        <v>391677</v>
      </c>
      <c r="E8" s="1">
        <v>569209</v>
      </c>
      <c r="F8" s="1">
        <v>596743</v>
      </c>
      <c r="G8">
        <f t="shared" si="0"/>
        <v>700196.5</v>
      </c>
      <c r="H8">
        <f t="shared" si="1"/>
        <v>910519.5</v>
      </c>
      <c r="I8">
        <f t="shared" si="2"/>
        <v>1218005.25</v>
      </c>
    </row>
    <row r="9" spans="1:9" x14ac:dyDescent="0.3">
      <c r="A9" t="s">
        <v>61</v>
      </c>
      <c r="B9" s="1">
        <v>273999</v>
      </c>
      <c r="C9" s="1">
        <v>305382</v>
      </c>
      <c r="D9" s="1">
        <v>391677</v>
      </c>
      <c r="E9" s="1">
        <v>569209</v>
      </c>
      <c r="F9" s="1">
        <v>596743</v>
      </c>
      <c r="G9">
        <f t="shared" si="0"/>
        <v>700196.5</v>
      </c>
      <c r="H9">
        <f t="shared" si="1"/>
        <v>910519.5</v>
      </c>
      <c r="I9">
        <f t="shared" si="2"/>
        <v>1218005.25</v>
      </c>
    </row>
    <row r="10" spans="1:9" x14ac:dyDescent="0.3">
      <c r="A10" t="s">
        <v>62</v>
      </c>
      <c r="B10" s="1">
        <v>12053</v>
      </c>
      <c r="C10" s="1">
        <v>9443</v>
      </c>
      <c r="D10" s="1">
        <v>9949</v>
      </c>
      <c r="E10" s="1">
        <v>8386</v>
      </c>
      <c r="F10" s="1">
        <v>13956</v>
      </c>
      <c r="G10">
        <f t="shared" si="0"/>
        <v>11582.099999999977</v>
      </c>
      <c r="H10">
        <f t="shared" si="1"/>
        <v>13977.300000000047</v>
      </c>
      <c r="I10">
        <f t="shared" si="2"/>
        <v>17196.430000000168</v>
      </c>
    </row>
    <row r="11" spans="1:9" x14ac:dyDescent="0.3">
      <c r="A11" t="s">
        <v>63</v>
      </c>
      <c r="B11" s="1">
        <v>286052</v>
      </c>
      <c r="C11" s="1">
        <v>314825</v>
      </c>
      <c r="D11" s="1">
        <v>401626</v>
      </c>
      <c r="E11" s="1">
        <v>577595</v>
      </c>
      <c r="F11" s="1">
        <v>610699</v>
      </c>
      <c r="G11">
        <f t="shared" si="0"/>
        <v>711778.59999999404</v>
      </c>
      <c r="H11">
        <f t="shared" si="1"/>
        <v>924496.79999998212</v>
      </c>
      <c r="I11">
        <f t="shared" si="2"/>
        <v>1235201.6799999774</v>
      </c>
    </row>
    <row r="12" spans="1:9" x14ac:dyDescent="0.3">
      <c r="A12" t="s">
        <v>64</v>
      </c>
      <c r="B12" s="1"/>
      <c r="C12" s="1"/>
      <c r="D12" s="1"/>
      <c r="E12" s="1"/>
      <c r="F12" s="1"/>
      <c r="G12" t="str">
        <f t="shared" si="0"/>
        <v/>
      </c>
      <c r="H12" t="str">
        <f t="shared" si="1"/>
        <v/>
      </c>
      <c r="I12" t="str">
        <f t="shared" si="2"/>
        <v/>
      </c>
    </row>
    <row r="13" spans="1:9" x14ac:dyDescent="0.3">
      <c r="A13" t="s">
        <v>65</v>
      </c>
      <c r="B13" s="1">
        <v>158199</v>
      </c>
      <c r="C13" s="1">
        <v>175087</v>
      </c>
      <c r="D13" s="1">
        <v>207448</v>
      </c>
      <c r="E13" s="1">
        <v>275237</v>
      </c>
      <c r="F13" s="1">
        <v>260621</v>
      </c>
      <c r="G13">
        <f t="shared" si="0"/>
        <v>306816.60000000149</v>
      </c>
      <c r="H13">
        <f t="shared" si="1"/>
        <v>371694.80000000447</v>
      </c>
      <c r="I13">
        <f t="shared" si="2"/>
        <v>464400.07999999821</v>
      </c>
    </row>
    <row r="14" spans="1:9" x14ac:dyDescent="0.3">
      <c r="A14" t="s">
        <v>66</v>
      </c>
      <c r="B14" s="1">
        <v>28055</v>
      </c>
      <c r="C14" s="1">
        <v>42431</v>
      </c>
      <c r="D14" s="1">
        <v>68628</v>
      </c>
      <c r="E14" s="1">
        <v>123930</v>
      </c>
      <c r="F14" s="1">
        <v>149667</v>
      </c>
      <c r="G14">
        <f t="shared" si="0"/>
        <v>179959.10000000149</v>
      </c>
      <c r="H14">
        <f t="shared" si="1"/>
        <v>255361.09999999404</v>
      </c>
      <c r="I14">
        <f t="shared" si="2"/>
        <v>370256.69000001252</v>
      </c>
    </row>
    <row r="15" spans="1:9" x14ac:dyDescent="0.3">
      <c r="A15" t="s">
        <v>67</v>
      </c>
      <c r="B15" s="1">
        <v>18479</v>
      </c>
      <c r="C15">
        <v>0</v>
      </c>
      <c r="D15">
        <v>0</v>
      </c>
      <c r="E15" s="1">
        <v>28360</v>
      </c>
      <c r="F15" s="1">
        <v>24155</v>
      </c>
      <c r="G15">
        <f t="shared" si="0"/>
        <v>26112.399999999441</v>
      </c>
      <c r="H15">
        <f t="shared" si="1"/>
        <v>46277.400000000373</v>
      </c>
      <c r="I15">
        <f t="shared" si="2"/>
        <v>70134.560000002384</v>
      </c>
    </row>
    <row r="16" spans="1:9" x14ac:dyDescent="0.3">
      <c r="A16" t="s">
        <v>68</v>
      </c>
      <c r="B16" s="1">
        <v>2560</v>
      </c>
      <c r="C16" s="1">
        <v>-5218</v>
      </c>
      <c r="D16" s="1">
        <v>-8610</v>
      </c>
      <c r="E16" s="1">
        <v>-4680</v>
      </c>
      <c r="F16" s="1">
        <v>-5048</v>
      </c>
      <c r="G16" t="str">
        <f t="shared" si="0"/>
        <v/>
      </c>
      <c r="H16" t="str">
        <f t="shared" si="1"/>
        <v/>
      </c>
      <c r="I16" t="str">
        <f t="shared" si="2"/>
        <v/>
      </c>
    </row>
    <row r="17" spans="1:9" x14ac:dyDescent="0.3">
      <c r="A17" t="s">
        <v>69</v>
      </c>
      <c r="B17" s="1">
        <v>7407</v>
      </c>
      <c r="C17" s="1">
        <v>8388</v>
      </c>
      <c r="D17" s="1">
        <v>9523</v>
      </c>
      <c r="E17" s="1">
        <v>12488</v>
      </c>
      <c r="F17" s="1">
        <v>14075</v>
      </c>
      <c r="G17">
        <f t="shared" si="0"/>
        <v>15607</v>
      </c>
      <c r="H17">
        <f t="shared" si="1"/>
        <v>19612.200000000186</v>
      </c>
      <c r="I17">
        <f t="shared" si="2"/>
        <v>25909.740000000224</v>
      </c>
    </row>
    <row r="18" spans="1:9" x14ac:dyDescent="0.3">
      <c r="A18" t="s">
        <v>70</v>
      </c>
      <c r="B18" s="1">
        <v>3691</v>
      </c>
      <c r="C18" s="1">
        <v>3849</v>
      </c>
      <c r="D18" s="1">
        <v>8052</v>
      </c>
      <c r="E18" s="1">
        <v>16495</v>
      </c>
      <c r="F18" s="1">
        <v>22027</v>
      </c>
      <c r="G18">
        <f t="shared" si="0"/>
        <v>25618.200000001118</v>
      </c>
      <c r="H18">
        <f t="shared" si="1"/>
        <v>38213.60000000149</v>
      </c>
      <c r="I18">
        <f t="shared" si="2"/>
        <v>56804.360000003129</v>
      </c>
    </row>
    <row r="19" spans="1:9" x14ac:dyDescent="0.3">
      <c r="A19" t="s">
        <v>71</v>
      </c>
      <c r="B19" s="1">
        <v>11565</v>
      </c>
      <c r="C19" s="1">
        <v>11646</v>
      </c>
      <c r="D19" s="1">
        <v>16706</v>
      </c>
      <c r="E19" s="1">
        <v>20934</v>
      </c>
      <c r="F19" s="1">
        <v>22203</v>
      </c>
      <c r="G19">
        <f t="shared" si="0"/>
        <v>25780</v>
      </c>
      <c r="H19">
        <f t="shared" si="1"/>
        <v>32959.799999999814</v>
      </c>
      <c r="I19">
        <f t="shared" si="2"/>
        <v>42393.359999999404</v>
      </c>
    </row>
    <row r="20" spans="1:9" x14ac:dyDescent="0.3">
      <c r="A20" t="s">
        <v>72</v>
      </c>
      <c r="B20" s="1">
        <v>17595</v>
      </c>
      <c r="C20" s="1">
        <v>38500</v>
      </c>
      <c r="D20" s="1">
        <v>50512</v>
      </c>
      <c r="E20" s="1">
        <v>49707</v>
      </c>
      <c r="F20" s="1">
        <v>65056</v>
      </c>
      <c r="G20">
        <f t="shared" si="0"/>
        <v>76112.699999999255</v>
      </c>
      <c r="H20">
        <f t="shared" si="1"/>
        <v>91885.29999999702</v>
      </c>
      <c r="I20">
        <f t="shared" si="2"/>
        <v>121230.74999999255</v>
      </c>
    </row>
    <row r="21" spans="1:9" x14ac:dyDescent="0.3">
      <c r="A21" t="s">
        <v>73</v>
      </c>
      <c r="B21" s="1">
        <v>247551</v>
      </c>
      <c r="C21" s="1">
        <v>274683</v>
      </c>
      <c r="D21" s="1">
        <v>352259</v>
      </c>
      <c r="E21" s="1">
        <v>522471</v>
      </c>
      <c r="F21" s="1">
        <v>552756</v>
      </c>
      <c r="G21">
        <f t="shared" si="0"/>
        <v>647403.40000000596</v>
      </c>
      <c r="H21">
        <f t="shared" si="1"/>
        <v>848289.59999999404</v>
      </c>
      <c r="I21">
        <f t="shared" si="2"/>
        <v>1143132.599999994</v>
      </c>
    </row>
    <row r="22" spans="1:9" x14ac:dyDescent="0.3">
      <c r="A22" t="s">
        <v>74</v>
      </c>
      <c r="B22" s="1">
        <v>38501</v>
      </c>
      <c r="C22" s="1">
        <v>40142</v>
      </c>
      <c r="D22" s="1">
        <v>49367</v>
      </c>
      <c r="E22" s="1">
        <v>55124</v>
      </c>
      <c r="F22" s="1">
        <v>57943</v>
      </c>
      <c r="G22">
        <f t="shared" si="0"/>
        <v>64375.200000001118</v>
      </c>
      <c r="H22">
        <f t="shared" si="1"/>
        <v>76207.200000001118</v>
      </c>
      <c r="I22">
        <f t="shared" si="2"/>
        <v>92069.080000001937</v>
      </c>
    </row>
    <row r="23" spans="1:9" x14ac:dyDescent="0.3">
      <c r="A23" t="s">
        <v>75</v>
      </c>
      <c r="B23" s="1">
        <v>0</v>
      </c>
      <c r="C23" s="1">
        <v>0</v>
      </c>
      <c r="D23" s="1">
        <v>0</v>
      </c>
      <c r="E23" s="1">
        <v>0</v>
      </c>
      <c r="F23" s="1">
        <v>-4444</v>
      </c>
      <c r="G23" t="str">
        <f t="shared" si="0"/>
        <v/>
      </c>
      <c r="H23" t="str">
        <f t="shared" si="1"/>
        <v/>
      </c>
      <c r="I23" t="str">
        <f t="shared" si="2"/>
        <v/>
      </c>
    </row>
    <row r="24" spans="1:9" x14ac:dyDescent="0.3">
      <c r="A24" t="s">
        <v>76</v>
      </c>
      <c r="B24" s="1">
        <v>38501</v>
      </c>
      <c r="C24" s="1">
        <v>40142</v>
      </c>
      <c r="D24" s="1">
        <v>49367</v>
      </c>
      <c r="E24" s="1">
        <v>55124</v>
      </c>
      <c r="F24" s="1">
        <v>53499</v>
      </c>
      <c r="G24">
        <f t="shared" si="0"/>
        <v>60820</v>
      </c>
      <c r="H24">
        <f t="shared" si="1"/>
        <v>69985.599999999627</v>
      </c>
      <c r="I24">
        <f t="shared" si="2"/>
        <v>81225.719999998808</v>
      </c>
    </row>
    <row r="25" spans="1:9" x14ac:dyDescent="0.3">
      <c r="A25" t="s">
        <v>77</v>
      </c>
      <c r="G25" t="str">
        <f t="shared" si="0"/>
        <v/>
      </c>
      <c r="H25" t="str">
        <f t="shared" si="1"/>
        <v/>
      </c>
      <c r="I25" t="str">
        <f t="shared" si="2"/>
        <v/>
      </c>
    </row>
    <row r="26" spans="1:9" x14ac:dyDescent="0.3">
      <c r="A26" t="s">
        <v>78</v>
      </c>
      <c r="B26" s="1">
        <v>8042</v>
      </c>
      <c r="C26" s="1">
        <v>8880</v>
      </c>
      <c r="D26" s="1">
        <v>10098</v>
      </c>
      <c r="E26" s="1">
        <v>11683</v>
      </c>
      <c r="F26" s="1">
        <v>8630</v>
      </c>
      <c r="G26">
        <f t="shared" si="0"/>
        <v>10660.29999999993</v>
      </c>
      <c r="H26">
        <f t="shared" si="1"/>
        <v>10827.29999999993</v>
      </c>
      <c r="I26">
        <f t="shared" si="2"/>
        <v>10597.669999999867</v>
      </c>
    </row>
    <row r="27" spans="1:9" x14ac:dyDescent="0.3">
      <c r="A27" t="s">
        <v>79</v>
      </c>
      <c r="B27">
        <v>834</v>
      </c>
      <c r="C27" s="1">
        <v>1321</v>
      </c>
      <c r="D27" s="1">
        <v>3248</v>
      </c>
      <c r="E27" s="1">
        <v>3707</v>
      </c>
      <c r="F27" s="1">
        <v>5096</v>
      </c>
      <c r="G27">
        <f t="shared" si="0"/>
        <v>6114.2000000001863</v>
      </c>
      <c r="H27">
        <f t="shared" si="1"/>
        <v>8471.0000000004657</v>
      </c>
      <c r="I27">
        <f t="shared" si="2"/>
        <v>11753.840000000782</v>
      </c>
    </row>
    <row r="28" spans="1:9" x14ac:dyDescent="0.3">
      <c r="A28" t="s">
        <v>80</v>
      </c>
      <c r="B28" s="1">
        <v>8876</v>
      </c>
      <c r="C28" s="1">
        <v>10201</v>
      </c>
      <c r="D28" s="1">
        <v>13346</v>
      </c>
      <c r="E28" s="1">
        <v>15390</v>
      </c>
      <c r="F28" s="1">
        <v>13726</v>
      </c>
      <c r="G28">
        <f t="shared" si="0"/>
        <v>16774.5</v>
      </c>
      <c r="H28">
        <f t="shared" si="1"/>
        <v>19298.299999999814</v>
      </c>
      <c r="I28">
        <f t="shared" si="2"/>
        <v>22351.509999999776</v>
      </c>
    </row>
    <row r="29" spans="1:9" x14ac:dyDescent="0.3">
      <c r="A29" t="s">
        <v>81</v>
      </c>
      <c r="B29" s="1">
        <v>29625</v>
      </c>
      <c r="C29" s="1">
        <v>29941</v>
      </c>
      <c r="D29" s="1">
        <v>36021</v>
      </c>
      <c r="E29" s="1">
        <v>39734</v>
      </c>
      <c r="F29" s="1">
        <v>39773</v>
      </c>
      <c r="G29">
        <f t="shared" si="0"/>
        <v>44045.5</v>
      </c>
      <c r="H29">
        <f t="shared" si="1"/>
        <v>50687.300000000745</v>
      </c>
      <c r="I29">
        <f t="shared" si="2"/>
        <v>58874.210000000894</v>
      </c>
    </row>
    <row r="30" spans="1:9" x14ac:dyDescent="0.3">
      <c r="A30" t="s">
        <v>82</v>
      </c>
      <c r="B30" s="1">
        <v>29625</v>
      </c>
      <c r="C30" s="1">
        <v>29941</v>
      </c>
      <c r="D30" s="1">
        <v>36021</v>
      </c>
      <c r="E30" s="1">
        <v>39734</v>
      </c>
      <c r="F30" s="1">
        <v>39773</v>
      </c>
      <c r="G30">
        <f t="shared" si="0"/>
        <v>44045.5</v>
      </c>
      <c r="H30">
        <f t="shared" si="1"/>
        <v>50687.300000000745</v>
      </c>
      <c r="I30">
        <f t="shared" si="2"/>
        <v>58874.210000000894</v>
      </c>
    </row>
    <row r="31" spans="1:9" x14ac:dyDescent="0.3">
      <c r="A31" t="s">
        <v>83</v>
      </c>
      <c r="B31" s="1">
        <v>29625</v>
      </c>
      <c r="C31" s="1">
        <v>29941</v>
      </c>
      <c r="D31" s="1">
        <v>36021</v>
      </c>
      <c r="E31" s="1">
        <v>39734</v>
      </c>
      <c r="F31" s="1">
        <v>39773</v>
      </c>
      <c r="G31">
        <f t="shared" si="0"/>
        <v>44045.5</v>
      </c>
      <c r="H31">
        <f t="shared" si="1"/>
        <v>50687.300000000745</v>
      </c>
      <c r="I31">
        <f t="shared" si="2"/>
        <v>58874.210000000894</v>
      </c>
    </row>
    <row r="32" spans="1:9" x14ac:dyDescent="0.3">
      <c r="A32" t="s">
        <v>16</v>
      </c>
      <c r="B32" s="1">
        <v>-116</v>
      </c>
      <c r="C32">
        <v>68</v>
      </c>
      <c r="D32" s="1">
        <v>-5</v>
      </c>
      <c r="E32" s="1">
        <v>-249</v>
      </c>
      <c r="F32" s="1">
        <v>-526</v>
      </c>
      <c r="G32" t="str">
        <f t="shared" si="0"/>
        <v/>
      </c>
      <c r="H32" t="str">
        <f t="shared" si="1"/>
        <v/>
      </c>
      <c r="I32" t="str">
        <f t="shared" si="2"/>
        <v/>
      </c>
    </row>
    <row r="33" spans="1:9" x14ac:dyDescent="0.3">
      <c r="A33" t="s">
        <v>84</v>
      </c>
      <c r="B33" s="1">
        <v>236</v>
      </c>
      <c r="C33">
        <v>-108</v>
      </c>
      <c r="D33">
        <v>59</v>
      </c>
      <c r="E33">
        <v>103</v>
      </c>
      <c r="F33">
        <v>107</v>
      </c>
      <c r="G33">
        <f t="shared" si="0"/>
        <v>65.299999999999272</v>
      </c>
      <c r="H33">
        <f t="shared" si="1"/>
        <v>203.09999999999127</v>
      </c>
      <c r="I33">
        <f t="shared" si="2"/>
        <v>232.72999999998865</v>
      </c>
    </row>
    <row r="34" spans="1:9" x14ac:dyDescent="0.3">
      <c r="A34" t="s">
        <v>85</v>
      </c>
      <c r="B34" s="1">
        <v>29745</v>
      </c>
      <c r="C34" s="1">
        <v>29901</v>
      </c>
      <c r="D34" s="1">
        <v>36075</v>
      </c>
      <c r="E34" s="1">
        <v>39588</v>
      </c>
      <c r="F34" s="1">
        <v>39354</v>
      </c>
      <c r="G34">
        <f t="shared" si="0"/>
        <v>43604.099999999627</v>
      </c>
      <c r="H34">
        <f t="shared" si="1"/>
        <v>49978.5</v>
      </c>
      <c r="I34">
        <f t="shared" si="2"/>
        <v>57631.469999999739</v>
      </c>
    </row>
    <row r="35" spans="1:9" x14ac:dyDescent="0.3">
      <c r="A35" t="s">
        <v>48</v>
      </c>
      <c r="G35" t="str">
        <f t="shared" si="0"/>
        <v/>
      </c>
      <c r="H35" t="str">
        <f t="shared" si="1"/>
        <v/>
      </c>
      <c r="I35" t="str">
        <f t="shared" si="2"/>
        <v/>
      </c>
    </row>
    <row r="36" spans="1:9" x14ac:dyDescent="0.3">
      <c r="A36" t="s">
        <v>86</v>
      </c>
      <c r="G36" t="str">
        <f t="shared" si="0"/>
        <v/>
      </c>
      <c r="H36" t="str">
        <f t="shared" si="1"/>
        <v/>
      </c>
      <c r="I36" t="str">
        <f t="shared" si="2"/>
        <v/>
      </c>
    </row>
    <row r="37" spans="1:9" x14ac:dyDescent="0.3">
      <c r="A37" t="s">
        <v>87</v>
      </c>
      <c r="B37">
        <v>101</v>
      </c>
      <c r="C37">
        <v>101</v>
      </c>
      <c r="D37">
        <v>61</v>
      </c>
      <c r="E37">
        <v>67</v>
      </c>
      <c r="F37">
        <v>63</v>
      </c>
      <c r="G37">
        <f t="shared" si="0"/>
        <v>45.599999999998545</v>
      </c>
      <c r="H37">
        <f t="shared" si="1"/>
        <v>24</v>
      </c>
      <c r="I37">
        <f t="shared" si="2"/>
        <v>4.4199999999982538</v>
      </c>
    </row>
    <row r="38" spans="1:9" x14ac:dyDescent="0.3">
      <c r="A38" t="s">
        <v>88</v>
      </c>
      <c r="B38">
        <v>101</v>
      </c>
      <c r="C38">
        <v>101</v>
      </c>
      <c r="D38">
        <v>61</v>
      </c>
      <c r="E38">
        <v>67</v>
      </c>
      <c r="F38">
        <v>63</v>
      </c>
      <c r="G38">
        <f t="shared" si="0"/>
        <v>45.599999999998545</v>
      </c>
      <c r="H38">
        <f t="shared" si="1"/>
        <v>24</v>
      </c>
      <c r="I38">
        <f t="shared" si="2"/>
        <v>4.4199999999982538</v>
      </c>
    </row>
    <row r="39" spans="1:9" x14ac:dyDescent="0.3">
      <c r="A39" t="s">
        <v>89</v>
      </c>
      <c r="G39" t="str">
        <f t="shared" si="0"/>
        <v/>
      </c>
      <c r="H39" t="str">
        <f t="shared" si="1"/>
        <v/>
      </c>
      <c r="I39" t="str">
        <f t="shared" si="2"/>
        <v/>
      </c>
    </row>
    <row r="40" spans="1:9" x14ac:dyDescent="0.3">
      <c r="A40" t="s">
        <v>90</v>
      </c>
      <c r="B40" s="1">
        <v>6039</v>
      </c>
      <c r="C40">
        <v>0</v>
      </c>
      <c r="D40" s="1">
        <v>3255</v>
      </c>
      <c r="E40" s="1">
        <v>3554</v>
      </c>
      <c r="F40" s="1">
        <v>3852</v>
      </c>
      <c r="G40">
        <f t="shared" si="0"/>
        <v>3094</v>
      </c>
      <c r="H40">
        <f t="shared" si="1"/>
        <v>5465</v>
      </c>
      <c r="I40">
        <f t="shared" si="2"/>
        <v>5824</v>
      </c>
    </row>
    <row r="41" spans="1:9" x14ac:dyDescent="0.3">
      <c r="A41" t="s">
        <v>91</v>
      </c>
      <c r="B41" s="1">
        <v>1220</v>
      </c>
      <c r="C41">
        <v>0</v>
      </c>
      <c r="D41">
        <v>661</v>
      </c>
      <c r="E41">
        <v>728</v>
      </c>
      <c r="F41">
        <v>732</v>
      </c>
      <c r="G41">
        <f t="shared" si="0"/>
        <v>593.79999999999563</v>
      </c>
      <c r="H41">
        <f t="shared" si="1"/>
        <v>1046.3999999999942</v>
      </c>
      <c r="I41">
        <f t="shared" si="2"/>
        <v>1070.539999999979</v>
      </c>
    </row>
    <row r="42" spans="1:9" x14ac:dyDescent="0.3">
      <c r="G42" t="str">
        <f t="shared" si="0"/>
        <v/>
      </c>
      <c r="H42" t="str">
        <f t="shared" si="1"/>
        <v/>
      </c>
      <c r="I42" t="str">
        <f t="shared" si="2"/>
        <v/>
      </c>
    </row>
    <row r="43" spans="1:9" x14ac:dyDescent="0.3">
      <c r="G43" t="str">
        <f t="shared" si="0"/>
        <v/>
      </c>
      <c r="H43" t="str">
        <f t="shared" si="1"/>
        <v/>
      </c>
      <c r="I43" t="str">
        <f t="shared" si="2"/>
        <v/>
      </c>
    </row>
    <row r="44" spans="1:9" x14ac:dyDescent="0.3">
      <c r="G44" t="str">
        <f t="shared" si="0"/>
        <v/>
      </c>
      <c r="H44" t="str">
        <f t="shared" si="1"/>
        <v/>
      </c>
      <c r="I44" t="str">
        <f t="shared" si="2"/>
        <v/>
      </c>
    </row>
    <row r="45" spans="1:9" x14ac:dyDescent="0.3">
      <c r="G45" t="str">
        <f t="shared" si="0"/>
        <v/>
      </c>
      <c r="H45" t="str">
        <f t="shared" si="1"/>
        <v/>
      </c>
      <c r="I45" t="str">
        <f t="shared" si="2"/>
        <v/>
      </c>
    </row>
    <row r="46" spans="1:9" x14ac:dyDescent="0.3">
      <c r="G46" t="str">
        <f t="shared" si="0"/>
        <v/>
      </c>
      <c r="H46" t="str">
        <f t="shared" si="1"/>
        <v/>
      </c>
      <c r="I46" t="str">
        <f t="shared" si="2"/>
        <v/>
      </c>
    </row>
    <row r="47" spans="1:9" x14ac:dyDescent="0.3">
      <c r="G47" t="str">
        <f t="shared" si="0"/>
        <v/>
      </c>
      <c r="H47" t="str">
        <f t="shared" si="1"/>
        <v/>
      </c>
      <c r="I47" t="str">
        <f t="shared" si="2"/>
        <v/>
      </c>
    </row>
    <row r="48" spans="1:9" x14ac:dyDescent="0.3">
      <c r="G48" t="str">
        <f t="shared" si="0"/>
        <v/>
      </c>
      <c r="H48" t="str">
        <f t="shared" si="1"/>
        <v/>
      </c>
      <c r="I48" t="str">
        <f t="shared" si="2"/>
        <v/>
      </c>
    </row>
    <row r="49" spans="7:9" x14ac:dyDescent="0.3">
      <c r="G49" t="str">
        <f t="shared" si="0"/>
        <v/>
      </c>
      <c r="H49" t="str">
        <f t="shared" si="1"/>
        <v/>
      </c>
      <c r="I49" t="str">
        <f t="shared" si="2"/>
        <v/>
      </c>
    </row>
    <row r="50" spans="7:9" x14ac:dyDescent="0.3">
      <c r="G50" t="str">
        <f t="shared" si="0"/>
        <v/>
      </c>
      <c r="H50" t="str">
        <f t="shared" si="1"/>
        <v/>
      </c>
      <c r="I50" t="str">
        <f t="shared" si="2"/>
        <v/>
      </c>
    </row>
    <row r="51" spans="7:9" x14ac:dyDescent="0.3">
      <c r="G51" t="str">
        <f t="shared" si="0"/>
        <v/>
      </c>
      <c r="H51" t="str">
        <f t="shared" si="1"/>
        <v/>
      </c>
      <c r="I51" t="str">
        <f t="shared" si="2"/>
        <v/>
      </c>
    </row>
    <row r="52" spans="7:9" x14ac:dyDescent="0.3">
      <c r="G52" t="str">
        <f t="shared" si="0"/>
        <v/>
      </c>
      <c r="H52" t="str">
        <f t="shared" si="1"/>
        <v/>
      </c>
      <c r="I52" t="str">
        <f t="shared" si="2"/>
        <v/>
      </c>
    </row>
    <row r="53" spans="7:9" x14ac:dyDescent="0.3">
      <c r="G53" t="str">
        <f t="shared" si="0"/>
        <v/>
      </c>
      <c r="H53" t="str">
        <f t="shared" si="1"/>
        <v/>
      </c>
      <c r="I53" t="str">
        <f t="shared" si="2"/>
        <v/>
      </c>
    </row>
    <row r="54" spans="7:9" x14ac:dyDescent="0.3">
      <c r="G54" t="str">
        <f t="shared" si="0"/>
        <v/>
      </c>
      <c r="H54" t="str">
        <f t="shared" si="1"/>
        <v/>
      </c>
      <c r="I54" t="str">
        <f t="shared" si="2"/>
        <v/>
      </c>
    </row>
    <row r="55" spans="7:9" x14ac:dyDescent="0.3">
      <c r="G55" t="str">
        <f t="shared" si="0"/>
        <v/>
      </c>
      <c r="H55" t="str">
        <f t="shared" si="1"/>
        <v/>
      </c>
      <c r="I55" t="str">
        <f t="shared" si="2"/>
        <v/>
      </c>
    </row>
    <row r="56" spans="7:9" x14ac:dyDescent="0.3">
      <c r="G56" t="str">
        <f t="shared" si="0"/>
        <v/>
      </c>
      <c r="H56" t="str">
        <f t="shared" si="1"/>
        <v/>
      </c>
      <c r="I56" t="str">
        <f t="shared" si="2"/>
        <v/>
      </c>
    </row>
    <row r="57" spans="7:9" x14ac:dyDescent="0.3">
      <c r="G57" t="str">
        <f t="shared" si="0"/>
        <v/>
      </c>
      <c r="H57" t="str">
        <f t="shared" si="1"/>
        <v/>
      </c>
      <c r="I57" t="str">
        <f t="shared" si="2"/>
        <v/>
      </c>
    </row>
    <row r="58" spans="7:9" x14ac:dyDescent="0.3">
      <c r="G58" t="str">
        <f t="shared" si="0"/>
        <v/>
      </c>
      <c r="H58" t="str">
        <f t="shared" si="1"/>
        <v/>
      </c>
      <c r="I58" t="str">
        <f t="shared" si="2"/>
        <v/>
      </c>
    </row>
    <row r="59" spans="7:9" x14ac:dyDescent="0.3">
      <c r="G59" t="str">
        <f t="shared" si="0"/>
        <v/>
      </c>
      <c r="H59" t="str">
        <f t="shared" si="1"/>
        <v/>
      </c>
      <c r="I59" t="str">
        <f t="shared" si="2"/>
        <v/>
      </c>
    </row>
    <row r="60" spans="7:9" x14ac:dyDescent="0.3">
      <c r="G60" t="str">
        <f t="shared" si="0"/>
        <v/>
      </c>
      <c r="H60" t="str">
        <f t="shared" si="1"/>
        <v/>
      </c>
      <c r="I60" t="str">
        <f t="shared" si="2"/>
        <v/>
      </c>
    </row>
  </sheetData>
  <mergeCells count="3">
    <mergeCell ref="A1:I2"/>
    <mergeCell ref="B3:F3"/>
    <mergeCell ref="G3:I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CE2B-68FE-4FEC-BC6F-7D91A9C1A88E}">
  <sheetPr codeName="Sheet3"/>
  <dimension ref="A1:I20"/>
  <sheetViews>
    <sheetView workbookViewId="0">
      <selection activeCell="K14" sqref="K14"/>
    </sheetView>
  </sheetViews>
  <sheetFormatPr defaultRowHeight="14.4" x14ac:dyDescent="0.3"/>
  <cols>
    <col min="1" max="1" width="43.5546875" bestFit="1" customWidth="1"/>
    <col min="2" max="2" width="8.6640625" bestFit="1" customWidth="1"/>
    <col min="3" max="3" width="5" bestFit="1" customWidth="1"/>
    <col min="4" max="4" width="9.6640625" bestFit="1" customWidth="1"/>
    <col min="5" max="5" width="5" bestFit="1" customWidth="1"/>
    <col min="6" max="6" width="9" bestFit="1" customWidth="1"/>
  </cols>
  <sheetData>
    <row r="1" spans="1:9" x14ac:dyDescent="0.3">
      <c r="A1" s="12" t="s">
        <v>92</v>
      </c>
      <c r="B1" s="12"/>
      <c r="C1" s="12"/>
      <c r="D1" s="12"/>
      <c r="E1" s="12"/>
      <c r="F1" s="12"/>
      <c r="G1" s="12"/>
      <c r="H1" s="12"/>
      <c r="I1" s="12"/>
    </row>
    <row r="2" spans="1:9" x14ac:dyDescent="0.3">
      <c r="A2" s="12"/>
      <c r="B2" s="12"/>
      <c r="C2" s="12"/>
      <c r="D2" s="12"/>
      <c r="E2" s="12"/>
      <c r="F2" s="12"/>
      <c r="G2" s="12"/>
      <c r="H2" s="12"/>
      <c r="I2" s="12"/>
    </row>
    <row r="3" spans="1:9" ht="21" x14ac:dyDescent="0.3">
      <c r="A3" s="4"/>
      <c r="B3" s="10" t="s">
        <v>7</v>
      </c>
      <c r="C3" s="10"/>
      <c r="D3" s="10"/>
      <c r="E3" s="10"/>
      <c r="F3" s="10"/>
      <c r="G3" s="11" t="s">
        <v>8</v>
      </c>
      <c r="H3" s="11"/>
      <c r="I3" s="11"/>
    </row>
    <row r="4" spans="1:9" x14ac:dyDescent="0.3">
      <c r="B4" s="3">
        <v>2016</v>
      </c>
      <c r="C4" s="3">
        <v>2017</v>
      </c>
      <c r="D4" s="3">
        <v>2018</v>
      </c>
      <c r="E4" s="3">
        <v>2019</v>
      </c>
      <c r="F4" s="3">
        <v>2020</v>
      </c>
      <c r="G4" s="3">
        <v>2021</v>
      </c>
      <c r="H4" s="3">
        <v>2022</v>
      </c>
      <c r="I4" s="3">
        <v>2023</v>
      </c>
    </row>
    <row r="5" spans="1:9" x14ac:dyDescent="0.3">
      <c r="A5" t="s">
        <v>93</v>
      </c>
      <c r="B5" s="1">
        <v>1126.74</v>
      </c>
      <c r="C5" s="1">
        <v>0</v>
      </c>
      <c r="D5" s="1">
        <v>1289.8900000000001</v>
      </c>
      <c r="E5" s="1">
        <v>0</v>
      </c>
      <c r="F5" s="1">
        <v>33575.15</v>
      </c>
      <c r="G5">
        <f>IF(OR($F5&gt;0,$F5&lt;0,$F5="-"),_xlfn.FORECAST.LINEAR(G$4,B5:F5,$B$4:$F$4),"")</f>
        <v>26667.4020000007</v>
      </c>
      <c r="H5">
        <f>IF(OR($F5&gt;0,$F5&lt;0,$F5="-"),_xlfn.FORECAST.LINEAR(H$4,C5:G5,$B$4:$F$4),"")</f>
        <v>46554.514000002295</v>
      </c>
      <c r="I5">
        <f>IF(OR($F5&gt;0,$F5&lt;0,$F5="-"),_xlfn.FORECAST.LINEAR(I$4,D5:H5,$B$4:$F$4),"")</f>
        <v>80215.716200001538</v>
      </c>
    </row>
    <row r="6" spans="1:9" x14ac:dyDescent="0.3">
      <c r="A6" t="s">
        <v>94</v>
      </c>
      <c r="B6" s="1">
        <v>6740.63</v>
      </c>
      <c r="C6" s="1">
        <v>0</v>
      </c>
      <c r="D6" s="1">
        <v>9870.66</v>
      </c>
      <c r="E6" s="1">
        <v>0</v>
      </c>
      <c r="F6" s="1">
        <v>7360.98</v>
      </c>
      <c r="G6">
        <f t="shared" ref="G6:G20" si="0">IF(OR($F6&gt;0,$F6&lt;0,$F6="-"),_xlfn.FORECAST.LINEAR(G$4,B6:F6,$B$4:$F$4),"")</f>
        <v>5166.6640000000189</v>
      </c>
      <c r="H6">
        <f t="shared" ref="H6:H20" si="1">IF(OR($F6&gt;0,$F6&lt;0,$F6="-"),_xlfn.FORECAST.LINEAR(H$4,C6:G6,$B$4:$F$4),"")</f>
        <v>7609.1199999998789</v>
      </c>
      <c r="I6">
        <f t="shared" ref="I6:I20" si="2">IF(OR($F6&gt;0,$F6&lt;0,$F6="-"),_xlfn.FORECAST.LINEAR(I$4,D6:H6,$B$4:$F$4),"")</f>
        <v>6323.2767999998759</v>
      </c>
    </row>
    <row r="7" spans="1:9" x14ac:dyDescent="0.3">
      <c r="A7" t="s">
        <v>95</v>
      </c>
      <c r="B7" s="1">
        <v>-4422.6899999999996</v>
      </c>
      <c r="C7" s="1">
        <v>0</v>
      </c>
      <c r="D7" s="1">
        <v>-10185.59</v>
      </c>
      <c r="E7" s="1">
        <v>0</v>
      </c>
      <c r="F7" s="1">
        <v>-7772.69</v>
      </c>
      <c r="G7">
        <f t="shared" si="0"/>
        <v>-6486.1939999999013</v>
      </c>
      <c r="H7">
        <f t="shared" si="1"/>
        <v>-9112.6899999994785</v>
      </c>
      <c r="I7">
        <f t="shared" si="2"/>
        <v>-8881.6297999991802</v>
      </c>
    </row>
    <row r="8" spans="1:9" x14ac:dyDescent="0.3">
      <c r="A8" t="s">
        <v>96</v>
      </c>
      <c r="B8">
        <v>-196.35</v>
      </c>
      <c r="C8">
        <v>0</v>
      </c>
      <c r="D8">
        <v>-337.17</v>
      </c>
      <c r="E8">
        <v>0</v>
      </c>
      <c r="F8">
        <v>37.97</v>
      </c>
      <c r="G8">
        <f t="shared" si="0"/>
        <v>41.482000000003609</v>
      </c>
      <c r="H8">
        <f t="shared" si="1"/>
        <v>131.69800000000396</v>
      </c>
      <c r="I8">
        <f t="shared" si="2"/>
        <v>464.40499999999884</v>
      </c>
    </row>
    <row r="9" spans="1:9" x14ac:dyDescent="0.3">
      <c r="A9" t="s">
        <v>97</v>
      </c>
      <c r="B9" s="1">
        <v>2121.6</v>
      </c>
      <c r="C9">
        <v>0</v>
      </c>
      <c r="D9">
        <v>-652.1</v>
      </c>
      <c r="E9">
        <v>0</v>
      </c>
      <c r="F9">
        <v>-373.74</v>
      </c>
      <c r="G9">
        <f t="shared" si="0"/>
        <v>-1278.0520000000251</v>
      </c>
      <c r="H9">
        <f t="shared" si="1"/>
        <v>-1371.8759999999893</v>
      </c>
      <c r="I9">
        <f t="shared" si="2"/>
        <v>-2093.9555999999866</v>
      </c>
    </row>
    <row r="10" spans="1:9" x14ac:dyDescent="0.3">
      <c r="A10" t="s">
        <v>98</v>
      </c>
      <c r="B10" s="1">
        <v>4679.22</v>
      </c>
      <c r="C10">
        <v>0</v>
      </c>
      <c r="D10" s="1">
        <v>6800.82</v>
      </c>
      <c r="E10">
        <v>0</v>
      </c>
      <c r="F10" s="1">
        <v>6148.73</v>
      </c>
      <c r="G10">
        <f t="shared" si="0"/>
        <v>4407.4599999998463</v>
      </c>
      <c r="H10">
        <f t="shared" si="1"/>
        <v>6736.5339999997523</v>
      </c>
      <c r="I10">
        <f t="shared" si="2"/>
        <v>6958.1527999995742</v>
      </c>
    </row>
    <row r="11" spans="1:9" x14ac:dyDescent="0.3">
      <c r="A11" t="s">
        <v>99</v>
      </c>
      <c r="B11" s="1">
        <v>6800.82</v>
      </c>
      <c r="C11">
        <v>0</v>
      </c>
      <c r="D11" s="1">
        <v>6148.73</v>
      </c>
      <c r="E11">
        <v>0</v>
      </c>
      <c r="F11" s="1">
        <v>5774.98</v>
      </c>
      <c r="G11">
        <f t="shared" si="0"/>
        <v>3129.4020000000601</v>
      </c>
      <c r="H11">
        <f t="shared" si="1"/>
        <v>5364.6440000000875</v>
      </c>
      <c r="I11">
        <f t="shared" si="2"/>
        <v>4864.1662000001525</v>
      </c>
    </row>
    <row r="12" spans="1:9" x14ac:dyDescent="0.3">
      <c r="G12" t="str">
        <f t="shared" si="0"/>
        <v/>
      </c>
      <c r="H12" t="str">
        <f t="shared" si="1"/>
        <v/>
      </c>
      <c r="I12" t="str">
        <f t="shared" si="2"/>
        <v/>
      </c>
    </row>
    <row r="13" spans="1:9" ht="14.4" customHeight="1" x14ac:dyDescent="0.3">
      <c r="G13" t="str">
        <f t="shared" si="0"/>
        <v/>
      </c>
      <c r="H13" t="str">
        <f t="shared" si="1"/>
        <v/>
      </c>
      <c r="I13" t="str">
        <f t="shared" si="2"/>
        <v/>
      </c>
    </row>
    <row r="14" spans="1:9" ht="14.4" customHeight="1" x14ac:dyDescent="0.3">
      <c r="G14" t="str">
        <f t="shared" si="0"/>
        <v/>
      </c>
      <c r="H14" t="str">
        <f t="shared" si="1"/>
        <v/>
      </c>
      <c r="I14" t="str">
        <f t="shared" si="2"/>
        <v/>
      </c>
    </row>
    <row r="15" spans="1:9" x14ac:dyDescent="0.3">
      <c r="G15" t="str">
        <f t="shared" si="0"/>
        <v/>
      </c>
      <c r="H15" t="str">
        <f t="shared" si="1"/>
        <v/>
      </c>
      <c r="I15" t="str">
        <f t="shared" si="2"/>
        <v/>
      </c>
    </row>
    <row r="16" spans="1:9" x14ac:dyDescent="0.3">
      <c r="G16" t="str">
        <f t="shared" si="0"/>
        <v/>
      </c>
      <c r="H16" t="str">
        <f t="shared" si="1"/>
        <v/>
      </c>
      <c r="I16" t="str">
        <f t="shared" si="2"/>
        <v/>
      </c>
    </row>
    <row r="17" spans="7:9" x14ac:dyDescent="0.3">
      <c r="G17" t="str">
        <f t="shared" si="0"/>
        <v/>
      </c>
      <c r="H17" t="str">
        <f t="shared" si="1"/>
        <v/>
      </c>
      <c r="I17" t="str">
        <f t="shared" si="2"/>
        <v/>
      </c>
    </row>
    <row r="18" spans="7:9" x14ac:dyDescent="0.3">
      <c r="G18" t="str">
        <f t="shared" si="0"/>
        <v/>
      </c>
      <c r="H18" t="str">
        <f t="shared" si="1"/>
        <v/>
      </c>
      <c r="I18" t="str">
        <f t="shared" si="2"/>
        <v/>
      </c>
    </row>
    <row r="19" spans="7:9" x14ac:dyDescent="0.3">
      <c r="G19" t="str">
        <f t="shared" si="0"/>
        <v/>
      </c>
      <c r="H19" t="str">
        <f t="shared" si="1"/>
        <v/>
      </c>
      <c r="I19" t="str">
        <f t="shared" si="2"/>
        <v/>
      </c>
    </row>
    <row r="20" spans="7:9" x14ac:dyDescent="0.3">
      <c r="G20" t="str">
        <f t="shared" si="0"/>
        <v/>
      </c>
      <c r="H20" t="str">
        <f t="shared" si="1"/>
        <v/>
      </c>
      <c r="I20" t="str">
        <f t="shared" si="2"/>
        <v/>
      </c>
    </row>
  </sheetData>
  <mergeCells count="3">
    <mergeCell ref="A1:I2"/>
    <mergeCell ref="B3:F3"/>
    <mergeCell ref="G3:I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E8D12-25F7-4914-A69D-6CCB1F3A0A2A}">
  <sheetPr codeName="Sheet9"/>
  <dimension ref="A1:I12"/>
  <sheetViews>
    <sheetView tabSelected="1" workbookViewId="0">
      <selection activeCell="K9" sqref="K9"/>
    </sheetView>
  </sheetViews>
  <sheetFormatPr defaultRowHeight="14.4" x14ac:dyDescent="0.3"/>
  <cols>
    <col min="1" max="1" width="20.44140625" bestFit="1" customWidth="1"/>
    <col min="2" max="5" width="12.77734375" bestFit="1" customWidth="1"/>
    <col min="6" max="6" width="13.5546875" bestFit="1" customWidth="1"/>
    <col min="7" max="7" width="12.77734375" bestFit="1" customWidth="1"/>
    <col min="8" max="9" width="13.88671875" bestFit="1" customWidth="1"/>
  </cols>
  <sheetData>
    <row r="1" spans="1:9" x14ac:dyDescent="0.3">
      <c r="A1" s="12" t="s">
        <v>138</v>
      </c>
      <c r="B1" s="12"/>
      <c r="C1" s="12"/>
      <c r="D1" s="12"/>
      <c r="E1" s="12"/>
      <c r="F1" s="12"/>
      <c r="G1" s="12"/>
      <c r="H1" s="12"/>
      <c r="I1" s="12"/>
    </row>
    <row r="2" spans="1:9" x14ac:dyDescent="0.3">
      <c r="A2" s="12"/>
      <c r="B2" s="12"/>
      <c r="C2" s="12"/>
      <c r="D2" s="12"/>
      <c r="E2" s="12"/>
      <c r="F2" s="12"/>
      <c r="G2" s="12"/>
      <c r="H2" s="12"/>
      <c r="I2" s="12"/>
    </row>
    <row r="3" spans="1:9" ht="21" x14ac:dyDescent="0.3">
      <c r="A3" s="4"/>
      <c r="B3" s="10" t="s">
        <v>7</v>
      </c>
      <c r="C3" s="10"/>
      <c r="D3" s="10"/>
      <c r="E3" s="10"/>
      <c r="F3" s="10"/>
      <c r="G3" s="11" t="s">
        <v>8</v>
      </c>
      <c r="H3" s="11"/>
      <c r="I3" s="11"/>
    </row>
    <row r="4" spans="1:9" x14ac:dyDescent="0.3">
      <c r="A4" s="7" t="s">
        <v>115</v>
      </c>
      <c r="B4" s="8">
        <f>'P&amp;L'!B4</f>
        <v>2016</v>
      </c>
      <c r="C4" s="8">
        <f>'P&amp;L'!C4</f>
        <v>2017</v>
      </c>
      <c r="D4" s="8">
        <f>'P&amp;L'!D4</f>
        <v>2018</v>
      </c>
      <c r="E4" s="8">
        <f>'P&amp;L'!E4</f>
        <v>2019</v>
      </c>
      <c r="F4" s="8">
        <f>'P&amp;L'!F4</f>
        <v>2020</v>
      </c>
      <c r="G4" s="8">
        <f>'P&amp;L'!G4</f>
        <v>2021</v>
      </c>
      <c r="H4" s="8">
        <f>'P&amp;L'!H4</f>
        <v>2022</v>
      </c>
      <c r="I4" s="8">
        <f>'P&amp;L'!I4</f>
        <v>2023</v>
      </c>
    </row>
    <row r="5" spans="1:9" x14ac:dyDescent="0.3">
      <c r="A5" s="14" t="s">
        <v>105</v>
      </c>
      <c r="B5" s="16">
        <f>'P&amp;LA'!B9</f>
        <v>71352</v>
      </c>
      <c r="C5" s="16">
        <f>'P&amp;LA'!C9</f>
        <v>94137</v>
      </c>
      <c r="D5" s="16">
        <f>'P&amp;LA'!D9</f>
        <v>124637</v>
      </c>
      <c r="E5" s="16">
        <f>'P&amp;LA'!E9</f>
        <v>142260</v>
      </c>
      <c r="F5" s="16">
        <f>'P&amp;LA'!F9</f>
        <v>171673</v>
      </c>
      <c r="G5" s="16">
        <f>'P&amp;LA'!G9</f>
        <v>378849.59999999311</v>
      </c>
      <c r="H5" s="16">
        <f>'P&amp;LA'!H9</f>
        <v>506524.59999997728</v>
      </c>
      <c r="I5" s="16">
        <f>'P&amp;LA'!I9</f>
        <v>700667.03999997675</v>
      </c>
    </row>
    <row r="6" spans="1:9" x14ac:dyDescent="0.3">
      <c r="A6" s="14" t="s">
        <v>142</v>
      </c>
      <c r="B6" s="16">
        <f>CF!B6</f>
        <v>6740.63</v>
      </c>
      <c r="C6" s="16">
        <f>CF!C6</f>
        <v>0</v>
      </c>
      <c r="D6" s="16">
        <f>CF!D6</f>
        <v>9870.66</v>
      </c>
      <c r="E6" s="16">
        <f>CF!E6</f>
        <v>0</v>
      </c>
      <c r="F6" s="16">
        <f>CF!F6</f>
        <v>7360.98</v>
      </c>
      <c r="G6" s="16">
        <f>CF!G6</f>
        <v>5166.6640000000189</v>
      </c>
      <c r="H6" s="16">
        <f>CF!H6</f>
        <v>7609.1199999998789</v>
      </c>
      <c r="I6" s="16">
        <f>CF!I6</f>
        <v>6323.2767999998759</v>
      </c>
    </row>
    <row r="7" spans="1:9" x14ac:dyDescent="0.3">
      <c r="A7" s="5" t="s">
        <v>139</v>
      </c>
      <c r="B7" s="17">
        <f>CF!B6+CF!B7</f>
        <v>2317.9400000000005</v>
      </c>
      <c r="C7" s="17">
        <f>CF!C6+CF!C7</f>
        <v>0</v>
      </c>
      <c r="D7" s="17">
        <f>CF!D6+CF!D7</f>
        <v>-314.93000000000029</v>
      </c>
      <c r="E7" s="17">
        <f>CF!E6+CF!E7</f>
        <v>0</v>
      </c>
      <c r="F7" s="17">
        <f>CF!F6+CF!F7</f>
        <v>-411.71000000000004</v>
      </c>
      <c r="G7" s="17">
        <f>CF!G6+CF!G7</f>
        <v>-1319.5299999998824</v>
      </c>
      <c r="H7" s="17">
        <f>CF!H6+CF!H7</f>
        <v>-1503.5699999995995</v>
      </c>
      <c r="I7" s="17">
        <f>CF!I6+CF!I7</f>
        <v>-2558.3529999993043</v>
      </c>
    </row>
    <row r="8" spans="1:9" x14ac:dyDescent="0.3">
      <c r="A8" s="5" t="s">
        <v>140</v>
      </c>
      <c r="B8" s="15">
        <f>CF!B6+CF!B7+CF!B8</f>
        <v>2121.5900000000006</v>
      </c>
      <c r="C8" s="15">
        <f>CF!C6+CF!C7+CF!C8</f>
        <v>0</v>
      </c>
      <c r="D8" s="15">
        <f>CF!D6+CF!D7+CF!D8</f>
        <v>-652.10000000000036</v>
      </c>
      <c r="E8" s="15">
        <f>CF!E6+CF!E7+CF!E8</f>
        <v>0</v>
      </c>
      <c r="F8" s="15">
        <f>CF!F6+CF!F7+CF!F8</f>
        <v>-373.74</v>
      </c>
      <c r="G8" s="15">
        <f>CF!G6+CF!G7+CF!G8</f>
        <v>-1278.0479999998788</v>
      </c>
      <c r="H8" s="15">
        <f>CF!H6+CF!H7+CF!H8</f>
        <v>-1371.8719999995956</v>
      </c>
      <c r="I8" s="15">
        <f>CF!I6+CF!I7+CF!I8</f>
        <v>-2093.9479999993055</v>
      </c>
    </row>
    <row r="9" spans="1:9" x14ac:dyDescent="0.3">
      <c r="A9" s="5" t="s">
        <v>141</v>
      </c>
      <c r="B9" s="15">
        <f>'P&amp;LA'!B9-'P&amp;LA'!B13+CF!B7+(BS!B47-BS!B26)</f>
        <v>131159.31</v>
      </c>
      <c r="C9" s="15">
        <f>'P&amp;LA'!C9-'P&amp;LA'!C13+CF!C7+(BS!C47-BS!C26)</f>
        <v>80674</v>
      </c>
      <c r="D9" s="15">
        <f>'P&amp;LA'!D9-'P&amp;LA'!D13+CF!D7+(BS!D47-BS!D26)</f>
        <v>-28960.589999999997</v>
      </c>
      <c r="E9" s="15">
        <f>'P&amp;LA'!E9-'P&amp;LA'!E13+CF!E7+(BS!E47-BS!E26)</f>
        <v>-43639</v>
      </c>
      <c r="F9" s="15">
        <f>'P&amp;LA'!F9-'P&amp;LA'!F13+CF!F7+(BS!F47-BS!F26)</f>
        <v>-134956.69</v>
      </c>
      <c r="G9" s="15">
        <f>'P&amp;LA'!G9-'P&amp;LA'!G13+CF!G7+(BS!G47-BS!G26)</f>
        <v>-12699.793999994872</v>
      </c>
      <c r="H9" s="15">
        <f>'P&amp;LA'!H9-'P&amp;LA'!H13+CF!H7+(BS!H47-BS!H26)</f>
        <v>-67385.090000010096</v>
      </c>
      <c r="I9" s="15">
        <f>'P&amp;LA'!I9-'P&amp;LA'!I13+CF!I7+(BS!I47-BS!I26)</f>
        <v>-144787.32979999657</v>
      </c>
    </row>
    <row r="10" spans="1:9" x14ac:dyDescent="0.3">
      <c r="A10" s="5" t="s">
        <v>137</v>
      </c>
      <c r="B10" s="15">
        <f>'P&amp;LA'!B14+'P&amp;L'!B19+'P&amp;L'!B20+'P&amp;L'!B27-(BS!B47-BS!B26)</f>
        <v>7915</v>
      </c>
      <c r="C10" s="15">
        <f>'P&amp;LA'!C14+'P&amp;L'!C19+'P&amp;L'!C20+'P&amp;L'!C27-(BS!C47-BS!C26)</f>
        <v>126951</v>
      </c>
      <c r="D10" s="15">
        <f>'P&amp;LA'!D14+'P&amp;L'!D19+'P&amp;L'!D20+'P&amp;L'!D27-(BS!D47-BS!D26)</f>
        <v>295122</v>
      </c>
      <c r="E10" s="15">
        <f>'P&amp;LA'!E14+'P&amp;L'!E19+'P&amp;L'!E20+'P&amp;L'!E27-(BS!E47-BS!E26)</f>
        <v>351042</v>
      </c>
      <c r="F10" s="15">
        <f>'P&amp;LA'!F14+'P&amp;L'!F19+'P&amp;L'!F20+'P&amp;L'!F27-(BS!F47-BS!F26)</f>
        <v>513756</v>
      </c>
      <c r="G10" s="15">
        <f>'P&amp;LA'!G14+'P&amp;L'!G19+'P&amp;L'!G20+'P&amp;L'!G27-(BS!G47-BS!G26)</f>
        <v>812590.69999998063</v>
      </c>
      <c r="H10" s="15">
        <f>'P&amp;LA'!H14+'P&amp;L'!H19+'P&amp;L'!H20+'P&amp;L'!H27-(BS!H47-BS!H26)</f>
        <v>1133081.299999963</v>
      </c>
      <c r="I10" s="15">
        <f>'P&amp;LA'!I14+'P&amp;L'!I19+'P&amp;L'!I20+'P&amp;L'!I27-(BS!I47-BS!I26)</f>
        <v>1625521.3499999447</v>
      </c>
    </row>
    <row r="11" spans="1:9" x14ac:dyDescent="0.3">
      <c r="B11" s="6"/>
      <c r="C11" s="6"/>
      <c r="D11" s="6"/>
      <c r="E11" s="6"/>
      <c r="F11" s="6"/>
      <c r="G11" s="6"/>
      <c r="H11" s="6"/>
      <c r="I11" s="6"/>
    </row>
    <row r="12" spans="1:9" x14ac:dyDescent="0.3">
      <c r="B12" s="6"/>
      <c r="C12" s="6"/>
      <c r="D12" s="6"/>
      <c r="E12" s="6"/>
      <c r="F12" s="6"/>
      <c r="G12" s="6"/>
      <c r="H12" s="6"/>
      <c r="I12" s="6"/>
    </row>
  </sheetData>
  <mergeCells count="3">
    <mergeCell ref="A1:I2"/>
    <mergeCell ref="B3:F3"/>
    <mergeCell ref="G3:I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31299-3695-4D36-81AE-1B1C451F3130}">
  <sheetPr codeName="Sheet4"/>
  <dimension ref="A1:I62"/>
  <sheetViews>
    <sheetView workbookViewId="0">
      <selection activeCell="E6" sqref="E6"/>
    </sheetView>
  </sheetViews>
  <sheetFormatPr defaultRowHeight="14.4" x14ac:dyDescent="0.3"/>
  <cols>
    <col min="1" max="1" width="26.109375" bestFit="1" customWidth="1"/>
    <col min="2" max="8" width="10.44140625" bestFit="1" customWidth="1"/>
    <col min="9" max="9" width="11.44140625" bestFit="1" customWidth="1"/>
  </cols>
  <sheetData>
    <row r="1" spans="1:9" x14ac:dyDescent="0.3">
      <c r="A1" s="12" t="s">
        <v>100</v>
      </c>
      <c r="B1" s="12"/>
      <c r="C1" s="12"/>
      <c r="D1" s="12"/>
      <c r="E1" s="12"/>
      <c r="F1" s="12"/>
      <c r="G1" s="12"/>
      <c r="H1" s="12"/>
      <c r="I1" s="12"/>
    </row>
    <row r="2" spans="1:9" x14ac:dyDescent="0.3">
      <c r="A2" s="12"/>
      <c r="B2" s="12"/>
      <c r="C2" s="12"/>
      <c r="D2" s="12"/>
      <c r="E2" s="12"/>
      <c r="F2" s="12"/>
      <c r="G2" s="12"/>
      <c r="H2" s="12"/>
      <c r="I2" s="12"/>
    </row>
    <row r="3" spans="1:9" ht="21" x14ac:dyDescent="0.3">
      <c r="A3" s="4"/>
      <c r="B3" s="10" t="s">
        <v>7</v>
      </c>
      <c r="C3" s="10"/>
      <c r="D3" s="10"/>
      <c r="E3" s="10"/>
      <c r="F3" s="10"/>
      <c r="G3" s="11" t="s">
        <v>8</v>
      </c>
      <c r="H3" s="11"/>
      <c r="I3" s="11"/>
    </row>
    <row r="4" spans="1:9" ht="15" customHeight="1" x14ac:dyDescent="0.3">
      <c r="A4" s="7" t="s">
        <v>115</v>
      </c>
      <c r="B4" s="8">
        <f>'P&amp;L'!B4</f>
        <v>2016</v>
      </c>
      <c r="C4" s="8">
        <f>'P&amp;L'!C4</f>
        <v>2017</v>
      </c>
      <c r="D4" s="8">
        <f>'P&amp;L'!D4</f>
        <v>2018</v>
      </c>
      <c r="E4" s="8">
        <f>'P&amp;L'!E4</f>
        <v>2019</v>
      </c>
      <c r="F4" s="8">
        <f>'P&amp;L'!F4</f>
        <v>2020</v>
      </c>
      <c r="G4" s="8">
        <f>'P&amp;L'!G4</f>
        <v>2021</v>
      </c>
      <c r="H4" s="8">
        <f>'P&amp;L'!H4</f>
        <v>2022</v>
      </c>
      <c r="I4" s="8">
        <f>'P&amp;L'!I4</f>
        <v>2023</v>
      </c>
    </row>
    <row r="5" spans="1:9" x14ac:dyDescent="0.3">
      <c r="A5" s="5" t="s">
        <v>101</v>
      </c>
      <c r="B5" s="1">
        <f>'P&amp;L'!B11</f>
        <v>286052</v>
      </c>
      <c r="C5" s="1">
        <f>'P&amp;L'!C11</f>
        <v>314825</v>
      </c>
      <c r="D5" s="1">
        <f>'P&amp;L'!D11</f>
        <v>401626</v>
      </c>
      <c r="E5" s="1">
        <f>'P&amp;L'!E11</f>
        <v>577595</v>
      </c>
      <c r="F5" s="1">
        <f>'P&amp;L'!F11</f>
        <v>610699</v>
      </c>
      <c r="G5" s="1">
        <f>'P&amp;L'!G11</f>
        <v>711778.59999999404</v>
      </c>
      <c r="H5" s="1">
        <f>'P&amp;L'!H11</f>
        <v>924496.79999998212</v>
      </c>
      <c r="I5" s="1">
        <f>'P&amp;L'!I11</f>
        <v>1235201.6799999774</v>
      </c>
    </row>
    <row r="6" spans="1:9" x14ac:dyDescent="0.3">
      <c r="A6" t="s">
        <v>102</v>
      </c>
      <c r="B6" s="1">
        <f>'P&amp;L'!B13+'P&amp;L'!B15</f>
        <v>176678</v>
      </c>
      <c r="C6" s="1">
        <f>'P&amp;L'!C13+'P&amp;L'!C15</f>
        <v>175087</v>
      </c>
      <c r="D6" s="1">
        <f>'P&amp;L'!D13+'P&amp;L'!D15</f>
        <v>207448</v>
      </c>
      <c r="E6" s="1">
        <f>'P&amp;L'!E13+'P&amp;L'!E15</f>
        <v>303597</v>
      </c>
      <c r="F6" s="1">
        <f>'P&amp;L'!F13+'P&amp;L'!F15</f>
        <v>284776</v>
      </c>
      <c r="G6" s="1">
        <f>'P&amp;L'!G13+'P&amp;L'!G15</f>
        <v>332929.00000000093</v>
      </c>
      <c r="H6" s="1">
        <f>'P&amp;L'!H13+'P&amp;L'!H15</f>
        <v>417972.20000000484</v>
      </c>
      <c r="I6" s="1">
        <f>'P&amp;L'!I13+'P&amp;L'!I15</f>
        <v>534534.6400000006</v>
      </c>
    </row>
    <row r="7" spans="1:9" x14ac:dyDescent="0.3">
      <c r="A7" s="5" t="s">
        <v>103</v>
      </c>
      <c r="B7" s="1">
        <f>B5-B6</f>
        <v>109374</v>
      </c>
      <c r="C7" s="1">
        <f t="shared" ref="C7:I7" si="0">C5-C6</f>
        <v>139738</v>
      </c>
      <c r="D7" s="1">
        <f t="shared" si="0"/>
        <v>194178</v>
      </c>
      <c r="E7" s="1">
        <f t="shared" si="0"/>
        <v>273998</v>
      </c>
      <c r="F7" s="1">
        <f t="shared" si="0"/>
        <v>325923</v>
      </c>
      <c r="G7" s="1">
        <f t="shared" si="0"/>
        <v>378849.59999999311</v>
      </c>
      <c r="H7" s="1">
        <f t="shared" si="0"/>
        <v>506524.59999997728</v>
      </c>
      <c r="I7" s="1">
        <f t="shared" si="0"/>
        <v>700667.03999997675</v>
      </c>
    </row>
    <row r="8" spans="1:9" x14ac:dyDescent="0.3">
      <c r="A8" t="s">
        <v>104</v>
      </c>
      <c r="B8" s="1">
        <f>'P&amp;L'!B14+'P&amp;L'!B16+'P&amp;L'!B17+'P&amp;L'!B23</f>
        <v>38022</v>
      </c>
      <c r="C8" s="1">
        <f>'P&amp;L'!C14+'P&amp;L'!C16+'P&amp;L'!C17+'P&amp;L'!C23</f>
        <v>45601</v>
      </c>
      <c r="D8" s="1">
        <f>'P&amp;L'!D14+'P&amp;L'!D16+'P&amp;L'!D17+'P&amp;L'!D23</f>
        <v>69541</v>
      </c>
      <c r="E8" s="1">
        <f>'P&amp;L'!E14+'P&amp;L'!E16+'P&amp;L'!E17+'P&amp;L'!E23</f>
        <v>131738</v>
      </c>
      <c r="F8" s="1">
        <f>'P&amp;L'!F14+'P&amp;L'!F16+'P&amp;L'!F17+'P&amp;L'!F23</f>
        <v>154250</v>
      </c>
      <c r="G8" s="1">
        <v>0</v>
      </c>
      <c r="H8" s="1">
        <v>0</v>
      </c>
      <c r="I8" s="1">
        <v>0</v>
      </c>
    </row>
    <row r="9" spans="1:9" x14ac:dyDescent="0.3">
      <c r="A9" s="5" t="s">
        <v>105</v>
      </c>
      <c r="B9" s="1">
        <f>B7-B8</f>
        <v>71352</v>
      </c>
      <c r="C9" s="1">
        <f t="shared" ref="C9:I9" si="1">C7-C8</f>
        <v>94137</v>
      </c>
      <c r="D9" s="1">
        <f t="shared" si="1"/>
        <v>124637</v>
      </c>
      <c r="E9" s="1">
        <f t="shared" si="1"/>
        <v>142260</v>
      </c>
      <c r="F9" s="1">
        <f t="shared" si="1"/>
        <v>171673</v>
      </c>
      <c r="G9" s="1">
        <f t="shared" si="1"/>
        <v>378849.59999999311</v>
      </c>
      <c r="H9" s="1">
        <f t="shared" si="1"/>
        <v>506524.59999997728</v>
      </c>
      <c r="I9" s="1">
        <f t="shared" si="1"/>
        <v>700667.03999997675</v>
      </c>
    </row>
    <row r="10" spans="1:9" x14ac:dyDescent="0.3">
      <c r="A10" t="s">
        <v>106</v>
      </c>
      <c r="B10" s="1">
        <f>'P&amp;L'!B19</f>
        <v>11565</v>
      </c>
      <c r="C10" s="1">
        <f>'P&amp;L'!C19</f>
        <v>11646</v>
      </c>
      <c r="D10" s="1">
        <f>'P&amp;L'!D19</f>
        <v>16706</v>
      </c>
      <c r="E10" s="1">
        <f>'P&amp;L'!E19</f>
        <v>20934</v>
      </c>
      <c r="F10" s="1">
        <f>'P&amp;L'!F19</f>
        <v>22203</v>
      </c>
      <c r="G10" s="1">
        <f>'P&amp;L'!G19</f>
        <v>25780</v>
      </c>
      <c r="H10" s="1">
        <f>'P&amp;L'!H19</f>
        <v>32959.799999999814</v>
      </c>
      <c r="I10" s="1">
        <f>'P&amp;L'!I19</f>
        <v>42393.359999999404</v>
      </c>
    </row>
    <row r="11" spans="1:9" x14ac:dyDescent="0.3">
      <c r="A11" s="5" t="s">
        <v>107</v>
      </c>
      <c r="B11" s="1">
        <f>B9-B10</f>
        <v>59787</v>
      </c>
      <c r="C11" s="1">
        <f t="shared" ref="C11:I11" si="2">C9-C10</f>
        <v>82491</v>
      </c>
      <c r="D11" s="1">
        <f t="shared" si="2"/>
        <v>107931</v>
      </c>
      <c r="E11" s="1">
        <f t="shared" si="2"/>
        <v>121326</v>
      </c>
      <c r="F11" s="1">
        <f t="shared" si="2"/>
        <v>149470</v>
      </c>
      <c r="G11" s="1">
        <f t="shared" si="2"/>
        <v>353069.59999999311</v>
      </c>
      <c r="H11" s="1">
        <f t="shared" si="2"/>
        <v>473564.79999997746</v>
      </c>
      <c r="I11" s="1">
        <f t="shared" si="2"/>
        <v>658273.67999997735</v>
      </c>
    </row>
    <row r="12" spans="1:9" x14ac:dyDescent="0.3">
      <c r="A12" t="s">
        <v>110</v>
      </c>
      <c r="B12" s="1">
        <f>'P&amp;L'!B32:I32</f>
        <v>-116</v>
      </c>
      <c r="C12" s="1">
        <f>'P&amp;L'!C32:J32</f>
        <v>68</v>
      </c>
      <c r="D12" s="1">
        <f>'P&amp;L'!D32:K32</f>
        <v>-5</v>
      </c>
      <c r="E12" s="1">
        <f>'P&amp;L'!E32:L32</f>
        <v>-249</v>
      </c>
      <c r="F12" s="1">
        <f>'P&amp;L'!F32:M32</f>
        <v>-526</v>
      </c>
      <c r="G12" s="1">
        <v>0</v>
      </c>
      <c r="H12" s="1">
        <v>0</v>
      </c>
      <c r="I12" s="1">
        <v>0</v>
      </c>
    </row>
    <row r="13" spans="1:9" x14ac:dyDescent="0.3">
      <c r="A13" t="s">
        <v>109</v>
      </c>
      <c r="B13" s="1">
        <f>'P&amp;L'!B28</f>
        <v>8876</v>
      </c>
      <c r="C13" s="1">
        <f>'P&amp;L'!C28</f>
        <v>10201</v>
      </c>
      <c r="D13" s="1">
        <f>'P&amp;L'!D28</f>
        <v>13346</v>
      </c>
      <c r="E13" s="1">
        <f>'P&amp;L'!E28</f>
        <v>15390</v>
      </c>
      <c r="F13" s="1">
        <f>'P&amp;L'!F28</f>
        <v>13726</v>
      </c>
      <c r="G13" s="1">
        <f>'P&amp;L'!G28</f>
        <v>16774.5</v>
      </c>
      <c r="H13" s="1">
        <f>'P&amp;L'!H28</f>
        <v>19298.299999999814</v>
      </c>
      <c r="I13" s="1">
        <f>'P&amp;L'!I28</f>
        <v>22351.509999999776</v>
      </c>
    </row>
    <row r="14" spans="1:9" x14ac:dyDescent="0.3">
      <c r="A14" s="5" t="s">
        <v>108</v>
      </c>
      <c r="B14" s="1">
        <f>B11-B12-B13</f>
        <v>51027</v>
      </c>
      <c r="C14" s="1">
        <f t="shared" ref="C14:I14" si="3">C11-C12-C13</f>
        <v>72222</v>
      </c>
      <c r="D14" s="1">
        <f t="shared" si="3"/>
        <v>94590</v>
      </c>
      <c r="E14" s="1">
        <f t="shared" si="3"/>
        <v>106185</v>
      </c>
      <c r="F14" s="1">
        <f t="shared" si="3"/>
        <v>136270</v>
      </c>
      <c r="G14" s="1">
        <f t="shared" si="3"/>
        <v>336295.09999999311</v>
      </c>
      <c r="H14" s="1">
        <f t="shared" si="3"/>
        <v>454266.49999997765</v>
      </c>
      <c r="I14" s="1">
        <f t="shared" si="3"/>
        <v>635922.16999997757</v>
      </c>
    </row>
    <row r="15" spans="1:9" ht="14.4" customHeight="1" x14ac:dyDescent="0.3">
      <c r="A15" s="13" t="s">
        <v>114</v>
      </c>
      <c r="B15" s="13"/>
      <c r="C15" s="13"/>
      <c r="D15" s="13"/>
      <c r="E15" s="13"/>
      <c r="F15" s="13"/>
      <c r="G15" s="13"/>
      <c r="H15" s="13"/>
      <c r="I15" s="13"/>
    </row>
    <row r="16" spans="1:9" ht="14.4" customHeight="1" x14ac:dyDescent="0.3">
      <c r="A16" s="13"/>
      <c r="B16" s="13"/>
      <c r="C16" s="13"/>
      <c r="D16" s="13"/>
      <c r="E16" s="13"/>
      <c r="F16" s="13"/>
      <c r="G16" s="13"/>
      <c r="H16" s="13"/>
      <c r="I16" s="13"/>
    </row>
    <row r="17" spans="1:9" ht="14.4" customHeight="1" x14ac:dyDescent="0.3">
      <c r="A17" s="5" t="s">
        <v>103</v>
      </c>
      <c r="B17" s="6">
        <f>B7/B5</f>
        <v>0.38235705396221664</v>
      </c>
      <c r="C17" s="6">
        <f t="shared" ref="C17:I17" si="4">C7/C5</f>
        <v>0.44385928690542364</v>
      </c>
      <c r="D17" s="6">
        <f t="shared" si="4"/>
        <v>0.48347965520160546</v>
      </c>
      <c r="E17" s="6">
        <f t="shared" si="4"/>
        <v>0.47437737515040818</v>
      </c>
      <c r="F17" s="6">
        <f t="shared" si="4"/>
        <v>0.53368844553536199</v>
      </c>
      <c r="G17" s="6">
        <f t="shared" si="4"/>
        <v>0.53225764303674805</v>
      </c>
      <c r="H17" s="6">
        <f t="shared" si="4"/>
        <v>0.54789221552739509</v>
      </c>
      <c r="I17" s="6">
        <f t="shared" si="4"/>
        <v>0.56724909894875597</v>
      </c>
    </row>
    <row r="18" spans="1:9" x14ac:dyDescent="0.3">
      <c r="A18" s="5" t="s">
        <v>111</v>
      </c>
      <c r="B18" s="6">
        <f>B11/B5</f>
        <v>0.20900745319032904</v>
      </c>
      <c r="C18" s="6">
        <f t="shared" ref="C18:I18" si="5">C11/C5</f>
        <v>0.26202175811959028</v>
      </c>
      <c r="D18" s="6">
        <f t="shared" si="5"/>
        <v>0.26873509185162314</v>
      </c>
      <c r="E18" s="6">
        <f t="shared" si="5"/>
        <v>0.21005375739055912</v>
      </c>
      <c r="F18" s="6">
        <f t="shared" si="5"/>
        <v>0.24475232479502995</v>
      </c>
      <c r="G18" s="6">
        <f t="shared" si="5"/>
        <v>0.49603851534732296</v>
      </c>
      <c r="H18" s="6">
        <f t="shared" si="5"/>
        <v>0.5122406048349617</v>
      </c>
      <c r="I18" s="6">
        <f t="shared" si="5"/>
        <v>0.53292809640607797</v>
      </c>
    </row>
    <row r="19" spans="1:9" x14ac:dyDescent="0.3">
      <c r="A19" s="5" t="s">
        <v>108</v>
      </c>
      <c r="B19" s="6">
        <f>B14/B5</f>
        <v>0.17838365052507935</v>
      </c>
      <c r="C19" s="6">
        <f t="shared" ref="C19:I19" si="6">C14/C5</f>
        <v>0.22940363694115778</v>
      </c>
      <c r="D19" s="6">
        <f t="shared" si="6"/>
        <v>0.23551762087115874</v>
      </c>
      <c r="E19" s="6">
        <f t="shared" si="6"/>
        <v>0.18383988781066318</v>
      </c>
      <c r="F19" s="6">
        <f t="shared" si="6"/>
        <v>0.22313774871090342</v>
      </c>
      <c r="G19" s="6">
        <f t="shared" si="6"/>
        <v>0.47247149605227795</v>
      </c>
      <c r="H19" s="6">
        <f t="shared" si="6"/>
        <v>0.49136622214375048</v>
      </c>
      <c r="I19" s="6">
        <f t="shared" si="6"/>
        <v>0.51483266279235407</v>
      </c>
    </row>
    <row r="20" spans="1:9" x14ac:dyDescent="0.3">
      <c r="A20" s="5" t="s">
        <v>112</v>
      </c>
      <c r="B20" s="6">
        <f>B10/B5</f>
        <v>4.0429712080321062E-2</v>
      </c>
      <c r="C20" s="6">
        <f t="shared" ref="C20:I20" si="7">C10/C5</f>
        <v>3.6991979671245928E-2</v>
      </c>
      <c r="D20" s="6">
        <f t="shared" si="7"/>
        <v>4.1595912615219131E-2</v>
      </c>
      <c r="E20" s="6">
        <f t="shared" si="7"/>
        <v>3.6243388533487998E-2</v>
      </c>
      <c r="F20" s="6">
        <f t="shared" si="7"/>
        <v>3.6356699454231957E-2</v>
      </c>
      <c r="G20" s="6">
        <f t="shared" si="7"/>
        <v>3.6219127689425076E-2</v>
      </c>
      <c r="H20" s="6">
        <f t="shared" si="7"/>
        <v>3.5651610692433389E-2</v>
      </c>
      <c r="I20" s="6">
        <f t="shared" si="7"/>
        <v>3.4321002542678038E-2</v>
      </c>
    </row>
    <row r="21" spans="1:9" x14ac:dyDescent="0.3">
      <c r="A21" s="5" t="s">
        <v>113</v>
      </c>
      <c r="B21" s="6">
        <f>B13/B5</f>
        <v>3.1029323339812342E-2</v>
      </c>
      <c r="C21" s="6">
        <f t="shared" ref="C21:I21" si="8">C13/C5</f>
        <v>3.2402128166441675E-2</v>
      </c>
      <c r="D21" s="6">
        <f t="shared" si="8"/>
        <v>3.3229920373680985E-2</v>
      </c>
      <c r="E21" s="6">
        <f t="shared" si="8"/>
        <v>2.6644967494524711E-2</v>
      </c>
      <c r="F21" s="6">
        <f t="shared" si="8"/>
        <v>2.247588419172129E-2</v>
      </c>
      <c r="G21" s="6">
        <f t="shared" si="8"/>
        <v>2.3567019295045032E-2</v>
      </c>
      <c r="H21" s="6">
        <f t="shared" si="8"/>
        <v>2.0874382691211248E-2</v>
      </c>
      <c r="I21" s="6">
        <f t="shared" si="8"/>
        <v>1.8095433613723864E-2</v>
      </c>
    </row>
    <row r="22" spans="1:9" x14ac:dyDescent="0.3">
      <c r="G22" s="1" t="str">
        <f t="shared" ref="G22:G61" si="9">IF(OR($F22&gt;0,$F22&lt;0,$F22="-"),_xlfn.FORECAST.LINEAR(G$5,B22:F22,$B$5:$F$5),"")</f>
        <v/>
      </c>
      <c r="H22" s="1" t="str">
        <f t="shared" ref="H22:H61" si="10">IF(OR($F22&gt;0,$F22&lt;0,$F22="-"),_xlfn.FORECAST.LINEAR(H$5,C22:G22,$B$5:$F$5),"")</f>
        <v/>
      </c>
      <c r="I22" s="6"/>
    </row>
    <row r="23" spans="1:9" x14ac:dyDescent="0.3">
      <c r="G23" s="1" t="str">
        <f t="shared" si="9"/>
        <v/>
      </c>
      <c r="H23" s="1" t="str">
        <f t="shared" si="10"/>
        <v/>
      </c>
      <c r="I23" s="1" t="str">
        <f t="shared" ref="I23:I62" si="11">IF(OR($F22&gt;0,$F22&lt;0,$F22="-"),_xlfn.FORECAST.LINEAR(I$5,D22:H22,$B$5:$F$5),"")</f>
        <v/>
      </c>
    </row>
    <row r="24" spans="1:9" x14ac:dyDescent="0.3">
      <c r="G24" s="1" t="str">
        <f t="shared" si="9"/>
        <v/>
      </c>
      <c r="H24" s="1" t="str">
        <f t="shared" si="10"/>
        <v/>
      </c>
      <c r="I24" s="1" t="str">
        <f t="shared" si="11"/>
        <v/>
      </c>
    </row>
    <row r="25" spans="1:9" x14ac:dyDescent="0.3">
      <c r="G25" s="1" t="str">
        <f t="shared" si="9"/>
        <v/>
      </c>
      <c r="H25" s="1" t="str">
        <f t="shared" si="10"/>
        <v/>
      </c>
      <c r="I25" s="1" t="str">
        <f t="shared" si="11"/>
        <v/>
      </c>
    </row>
    <row r="26" spans="1:9" x14ac:dyDescent="0.3">
      <c r="G26" s="1" t="str">
        <f t="shared" si="9"/>
        <v/>
      </c>
      <c r="H26" s="1" t="str">
        <f t="shared" si="10"/>
        <v/>
      </c>
      <c r="I26" s="1" t="str">
        <f t="shared" si="11"/>
        <v/>
      </c>
    </row>
    <row r="27" spans="1:9" x14ac:dyDescent="0.3">
      <c r="G27" s="1" t="str">
        <f t="shared" si="9"/>
        <v/>
      </c>
      <c r="H27" s="1" t="str">
        <f t="shared" si="10"/>
        <v/>
      </c>
      <c r="I27" s="1" t="str">
        <f t="shared" si="11"/>
        <v/>
      </c>
    </row>
    <row r="28" spans="1:9" x14ac:dyDescent="0.3">
      <c r="G28" s="1" t="str">
        <f t="shared" si="9"/>
        <v/>
      </c>
      <c r="H28" s="1" t="str">
        <f t="shared" si="10"/>
        <v/>
      </c>
      <c r="I28" s="1" t="str">
        <f t="shared" si="11"/>
        <v/>
      </c>
    </row>
    <row r="29" spans="1:9" x14ac:dyDescent="0.3">
      <c r="G29" s="1" t="str">
        <f t="shared" si="9"/>
        <v/>
      </c>
      <c r="H29" s="1" t="str">
        <f t="shared" si="10"/>
        <v/>
      </c>
      <c r="I29" s="1" t="str">
        <f t="shared" si="11"/>
        <v/>
      </c>
    </row>
    <row r="30" spans="1:9" x14ac:dyDescent="0.3">
      <c r="G30" s="1" t="str">
        <f t="shared" si="9"/>
        <v/>
      </c>
      <c r="H30" s="1" t="str">
        <f t="shared" si="10"/>
        <v/>
      </c>
      <c r="I30" s="1" t="str">
        <f t="shared" si="11"/>
        <v/>
      </c>
    </row>
    <row r="31" spans="1:9" x14ac:dyDescent="0.3">
      <c r="G31" s="1" t="str">
        <f t="shared" si="9"/>
        <v/>
      </c>
      <c r="H31" s="1" t="str">
        <f t="shared" si="10"/>
        <v/>
      </c>
      <c r="I31" s="1" t="str">
        <f t="shared" si="11"/>
        <v/>
      </c>
    </row>
    <row r="32" spans="1:9" x14ac:dyDescent="0.3">
      <c r="G32" s="1" t="str">
        <f t="shared" si="9"/>
        <v/>
      </c>
      <c r="H32" s="1" t="str">
        <f t="shared" si="10"/>
        <v/>
      </c>
      <c r="I32" s="1" t="str">
        <f t="shared" si="11"/>
        <v/>
      </c>
    </row>
    <row r="33" spans="7:9" x14ac:dyDescent="0.3">
      <c r="G33" s="1" t="str">
        <f t="shared" si="9"/>
        <v/>
      </c>
      <c r="H33" s="1" t="str">
        <f t="shared" si="10"/>
        <v/>
      </c>
      <c r="I33" s="1" t="str">
        <f t="shared" si="11"/>
        <v/>
      </c>
    </row>
    <row r="34" spans="7:9" x14ac:dyDescent="0.3">
      <c r="G34" s="1" t="str">
        <f t="shared" si="9"/>
        <v/>
      </c>
      <c r="H34" s="1" t="str">
        <f t="shared" si="10"/>
        <v/>
      </c>
      <c r="I34" s="1" t="str">
        <f t="shared" si="11"/>
        <v/>
      </c>
    </row>
    <row r="35" spans="7:9" x14ac:dyDescent="0.3">
      <c r="G35" s="1" t="str">
        <f t="shared" si="9"/>
        <v/>
      </c>
      <c r="H35" s="1" t="str">
        <f t="shared" si="10"/>
        <v/>
      </c>
      <c r="I35" s="1" t="str">
        <f t="shared" si="11"/>
        <v/>
      </c>
    </row>
    <row r="36" spans="7:9" x14ac:dyDescent="0.3">
      <c r="G36" s="1" t="str">
        <f t="shared" si="9"/>
        <v/>
      </c>
      <c r="H36" s="1" t="str">
        <f t="shared" si="10"/>
        <v/>
      </c>
      <c r="I36" s="1" t="str">
        <f t="shared" si="11"/>
        <v/>
      </c>
    </row>
    <row r="37" spans="7:9" x14ac:dyDescent="0.3">
      <c r="G37" s="1" t="str">
        <f t="shared" si="9"/>
        <v/>
      </c>
      <c r="H37" s="1" t="str">
        <f t="shared" si="10"/>
        <v/>
      </c>
      <c r="I37" s="1" t="str">
        <f t="shared" si="11"/>
        <v/>
      </c>
    </row>
    <row r="38" spans="7:9" x14ac:dyDescent="0.3">
      <c r="G38" s="1" t="str">
        <f t="shared" si="9"/>
        <v/>
      </c>
      <c r="H38" s="1" t="str">
        <f t="shared" si="10"/>
        <v/>
      </c>
      <c r="I38" s="1" t="str">
        <f t="shared" si="11"/>
        <v/>
      </c>
    </row>
    <row r="39" spans="7:9" x14ac:dyDescent="0.3">
      <c r="G39" s="1" t="str">
        <f t="shared" si="9"/>
        <v/>
      </c>
      <c r="H39" s="1" t="str">
        <f t="shared" si="10"/>
        <v/>
      </c>
      <c r="I39" s="1" t="str">
        <f t="shared" si="11"/>
        <v/>
      </c>
    </row>
    <row r="40" spans="7:9" x14ac:dyDescent="0.3">
      <c r="G40" s="1" t="str">
        <f t="shared" si="9"/>
        <v/>
      </c>
      <c r="H40" s="1" t="str">
        <f t="shared" si="10"/>
        <v/>
      </c>
      <c r="I40" s="1" t="str">
        <f t="shared" si="11"/>
        <v/>
      </c>
    </row>
    <row r="41" spans="7:9" x14ac:dyDescent="0.3">
      <c r="G41" s="1" t="str">
        <f t="shared" si="9"/>
        <v/>
      </c>
      <c r="H41" s="1" t="str">
        <f t="shared" si="10"/>
        <v/>
      </c>
      <c r="I41" s="1" t="str">
        <f t="shared" si="11"/>
        <v/>
      </c>
    </row>
    <row r="42" spans="7:9" x14ac:dyDescent="0.3">
      <c r="G42" s="1" t="str">
        <f t="shared" si="9"/>
        <v/>
      </c>
      <c r="H42" s="1" t="str">
        <f t="shared" si="10"/>
        <v/>
      </c>
      <c r="I42" s="1" t="str">
        <f t="shared" si="11"/>
        <v/>
      </c>
    </row>
    <row r="43" spans="7:9" x14ac:dyDescent="0.3">
      <c r="G43" s="1" t="str">
        <f t="shared" si="9"/>
        <v/>
      </c>
      <c r="H43" s="1" t="str">
        <f t="shared" si="10"/>
        <v/>
      </c>
      <c r="I43" s="1" t="str">
        <f t="shared" si="11"/>
        <v/>
      </c>
    </row>
    <row r="44" spans="7:9" x14ac:dyDescent="0.3">
      <c r="G44" s="1" t="str">
        <f t="shared" si="9"/>
        <v/>
      </c>
      <c r="H44" s="1" t="str">
        <f t="shared" si="10"/>
        <v/>
      </c>
      <c r="I44" s="1" t="str">
        <f t="shared" si="11"/>
        <v/>
      </c>
    </row>
    <row r="45" spans="7:9" x14ac:dyDescent="0.3">
      <c r="G45" s="1" t="str">
        <f t="shared" si="9"/>
        <v/>
      </c>
      <c r="H45" s="1" t="str">
        <f t="shared" si="10"/>
        <v/>
      </c>
      <c r="I45" s="1" t="str">
        <f t="shared" si="11"/>
        <v/>
      </c>
    </row>
    <row r="46" spans="7:9" x14ac:dyDescent="0.3">
      <c r="G46" s="1" t="str">
        <f t="shared" si="9"/>
        <v/>
      </c>
      <c r="H46" s="1" t="str">
        <f t="shared" si="10"/>
        <v/>
      </c>
      <c r="I46" s="1" t="str">
        <f t="shared" si="11"/>
        <v/>
      </c>
    </row>
    <row r="47" spans="7:9" x14ac:dyDescent="0.3">
      <c r="G47" s="1" t="str">
        <f t="shared" si="9"/>
        <v/>
      </c>
      <c r="H47" s="1" t="str">
        <f t="shared" si="10"/>
        <v/>
      </c>
      <c r="I47" s="1" t="str">
        <f t="shared" si="11"/>
        <v/>
      </c>
    </row>
    <row r="48" spans="7:9" x14ac:dyDescent="0.3">
      <c r="G48" s="1" t="str">
        <f t="shared" si="9"/>
        <v/>
      </c>
      <c r="H48" s="1" t="str">
        <f t="shared" si="10"/>
        <v/>
      </c>
      <c r="I48" s="1" t="str">
        <f t="shared" si="11"/>
        <v/>
      </c>
    </row>
    <row r="49" spans="7:9" x14ac:dyDescent="0.3">
      <c r="G49" s="1" t="str">
        <f t="shared" si="9"/>
        <v/>
      </c>
      <c r="H49" s="1" t="str">
        <f t="shared" si="10"/>
        <v/>
      </c>
      <c r="I49" s="1" t="str">
        <f t="shared" si="11"/>
        <v/>
      </c>
    </row>
    <row r="50" spans="7:9" x14ac:dyDescent="0.3">
      <c r="G50" s="1" t="str">
        <f t="shared" si="9"/>
        <v/>
      </c>
      <c r="H50" s="1" t="str">
        <f t="shared" si="10"/>
        <v/>
      </c>
      <c r="I50" s="1" t="str">
        <f t="shared" si="11"/>
        <v/>
      </c>
    </row>
    <row r="51" spans="7:9" x14ac:dyDescent="0.3">
      <c r="G51" s="1" t="str">
        <f t="shared" si="9"/>
        <v/>
      </c>
      <c r="H51" s="1" t="str">
        <f t="shared" si="10"/>
        <v/>
      </c>
      <c r="I51" s="1" t="str">
        <f t="shared" si="11"/>
        <v/>
      </c>
    </row>
    <row r="52" spans="7:9" x14ac:dyDescent="0.3">
      <c r="G52" s="1" t="str">
        <f t="shared" si="9"/>
        <v/>
      </c>
      <c r="H52" s="1" t="str">
        <f t="shared" si="10"/>
        <v/>
      </c>
      <c r="I52" s="1" t="str">
        <f t="shared" si="11"/>
        <v/>
      </c>
    </row>
    <row r="53" spans="7:9" x14ac:dyDescent="0.3">
      <c r="G53" s="1" t="str">
        <f t="shared" si="9"/>
        <v/>
      </c>
      <c r="H53" s="1" t="str">
        <f t="shared" si="10"/>
        <v/>
      </c>
      <c r="I53" s="1" t="str">
        <f t="shared" si="11"/>
        <v/>
      </c>
    </row>
    <row r="54" spans="7:9" x14ac:dyDescent="0.3">
      <c r="G54" s="1" t="str">
        <f t="shared" si="9"/>
        <v/>
      </c>
      <c r="H54" s="1" t="str">
        <f t="shared" si="10"/>
        <v/>
      </c>
      <c r="I54" s="1" t="str">
        <f t="shared" si="11"/>
        <v/>
      </c>
    </row>
    <row r="55" spans="7:9" x14ac:dyDescent="0.3">
      <c r="G55" s="1" t="str">
        <f t="shared" si="9"/>
        <v/>
      </c>
      <c r="H55" s="1" t="str">
        <f t="shared" si="10"/>
        <v/>
      </c>
      <c r="I55" s="1" t="str">
        <f t="shared" si="11"/>
        <v/>
      </c>
    </row>
    <row r="56" spans="7:9" x14ac:dyDescent="0.3">
      <c r="G56" s="1" t="str">
        <f t="shared" si="9"/>
        <v/>
      </c>
      <c r="H56" s="1" t="str">
        <f t="shared" si="10"/>
        <v/>
      </c>
      <c r="I56" s="1" t="str">
        <f t="shared" si="11"/>
        <v/>
      </c>
    </row>
    <row r="57" spans="7:9" x14ac:dyDescent="0.3">
      <c r="G57" s="1" t="str">
        <f t="shared" si="9"/>
        <v/>
      </c>
      <c r="H57" s="1" t="str">
        <f t="shared" si="10"/>
        <v/>
      </c>
      <c r="I57" s="1" t="str">
        <f t="shared" si="11"/>
        <v/>
      </c>
    </row>
    <row r="58" spans="7:9" x14ac:dyDescent="0.3">
      <c r="G58" s="1" t="str">
        <f t="shared" si="9"/>
        <v/>
      </c>
      <c r="H58" s="1" t="str">
        <f t="shared" si="10"/>
        <v/>
      </c>
      <c r="I58" s="1" t="str">
        <f t="shared" si="11"/>
        <v/>
      </c>
    </row>
    <row r="59" spans="7:9" x14ac:dyDescent="0.3">
      <c r="G59" s="1" t="str">
        <f t="shared" si="9"/>
        <v/>
      </c>
      <c r="H59" s="1" t="str">
        <f t="shared" si="10"/>
        <v/>
      </c>
      <c r="I59" s="1" t="str">
        <f t="shared" si="11"/>
        <v/>
      </c>
    </row>
    <row r="60" spans="7:9" x14ac:dyDescent="0.3">
      <c r="G60" s="1" t="str">
        <f t="shared" si="9"/>
        <v/>
      </c>
      <c r="H60" s="1" t="str">
        <f t="shared" si="10"/>
        <v/>
      </c>
      <c r="I60" s="1" t="str">
        <f t="shared" si="11"/>
        <v/>
      </c>
    </row>
    <row r="61" spans="7:9" x14ac:dyDescent="0.3">
      <c r="G61" s="1" t="str">
        <f t="shared" si="9"/>
        <v/>
      </c>
      <c r="H61" s="1" t="str">
        <f t="shared" si="10"/>
        <v/>
      </c>
      <c r="I61" s="1" t="str">
        <f t="shared" si="11"/>
        <v/>
      </c>
    </row>
    <row r="62" spans="7:9" x14ac:dyDescent="0.3">
      <c r="I62" s="1" t="str">
        <f t="shared" si="11"/>
        <v/>
      </c>
    </row>
  </sheetData>
  <mergeCells count="4">
    <mergeCell ref="A1:I2"/>
    <mergeCell ref="B3:F3"/>
    <mergeCell ref="G3:I3"/>
    <mergeCell ref="A15:I16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A06E4-3E77-4622-AB44-A26AFF07C6D6}">
  <sheetPr codeName="Sheet5"/>
  <dimension ref="A1:I15"/>
  <sheetViews>
    <sheetView workbookViewId="0">
      <selection sqref="A1:I4"/>
    </sheetView>
  </sheetViews>
  <sheetFormatPr defaultRowHeight="14.4" x14ac:dyDescent="0.3"/>
  <cols>
    <col min="1" max="1" width="18.21875" bestFit="1" customWidth="1"/>
  </cols>
  <sheetData>
    <row r="1" spans="1:9" x14ac:dyDescent="0.3">
      <c r="A1" s="12" t="s">
        <v>116</v>
      </c>
      <c r="B1" s="12"/>
      <c r="C1" s="12"/>
      <c r="D1" s="12"/>
      <c r="E1" s="12"/>
      <c r="F1" s="12"/>
      <c r="G1" s="12"/>
      <c r="H1" s="12"/>
      <c r="I1" s="12"/>
    </row>
    <row r="2" spans="1:9" x14ac:dyDescent="0.3">
      <c r="A2" s="12"/>
      <c r="B2" s="12"/>
      <c r="C2" s="12"/>
      <c r="D2" s="12"/>
      <c r="E2" s="12"/>
      <c r="F2" s="12"/>
      <c r="G2" s="12"/>
      <c r="H2" s="12"/>
      <c r="I2" s="12"/>
    </row>
    <row r="3" spans="1:9" ht="21" x14ac:dyDescent="0.3">
      <c r="A3" s="4"/>
      <c r="B3" s="10" t="s">
        <v>7</v>
      </c>
      <c r="C3" s="10"/>
      <c r="D3" s="10"/>
      <c r="E3" s="10"/>
      <c r="F3" s="10"/>
      <c r="G3" s="11" t="s">
        <v>8</v>
      </c>
      <c r="H3" s="11"/>
      <c r="I3" s="11"/>
    </row>
    <row r="4" spans="1:9" x14ac:dyDescent="0.3">
      <c r="A4" s="7" t="s">
        <v>115</v>
      </c>
      <c r="B4" s="8">
        <f>'P&amp;L'!B4</f>
        <v>2016</v>
      </c>
      <c r="C4" s="8">
        <f>'P&amp;L'!C4</f>
        <v>2017</v>
      </c>
      <c r="D4" s="8">
        <f>'P&amp;L'!D4</f>
        <v>2018</v>
      </c>
      <c r="E4" s="8">
        <f>'P&amp;L'!E4</f>
        <v>2019</v>
      </c>
      <c r="F4" s="8">
        <f>'P&amp;L'!F4</f>
        <v>2020</v>
      </c>
      <c r="G4" s="8">
        <f>'P&amp;L'!G4</f>
        <v>2021</v>
      </c>
      <c r="H4" s="8">
        <f>'P&amp;L'!H4</f>
        <v>2022</v>
      </c>
      <c r="I4" s="8">
        <f>'P&amp;L'!I4</f>
        <v>2023</v>
      </c>
    </row>
    <row r="5" spans="1:9" x14ac:dyDescent="0.3">
      <c r="A5" s="5" t="s">
        <v>117</v>
      </c>
      <c r="B5" s="6">
        <f>(BS!B16+BS!B22)/BS!B48</f>
        <v>0.14168442811011095</v>
      </c>
      <c r="C5" s="6">
        <f>(BS!C16+BS!C22)/BS!C48</f>
        <v>0.18323513626215326</v>
      </c>
      <c r="D5" s="6">
        <f>(BS!D16+BS!D22)/BS!D48</f>
        <v>0.22245904932700269</v>
      </c>
      <c r="E5" s="6">
        <f>(BS!E16+BS!E22)/BS!E48</f>
        <v>0.38175924665082217</v>
      </c>
      <c r="F5" s="6">
        <f>(BS!F16+BS!F22)/BS!F48</f>
        <v>0.48650827967418869</v>
      </c>
      <c r="G5" s="6">
        <f>(BS!G16+BS!G22)/BS!G48</f>
        <v>0.74295980766149128</v>
      </c>
      <c r="H5" s="6">
        <f>(BS!H16+BS!H22)/BS!H48</f>
        <v>2.3861347689396797</v>
      </c>
      <c r="I5" s="6">
        <f>(BS!I16+BS!I22)/BS!I48</f>
        <v>-2.2378728339777285</v>
      </c>
    </row>
    <row r="6" spans="1:9" x14ac:dyDescent="0.3">
      <c r="A6" s="5" t="s">
        <v>118</v>
      </c>
      <c r="B6" s="6">
        <f>BS!B12/BS!B48</f>
        <v>0.19859766792604949</v>
      </c>
      <c r="C6" s="6">
        <f>BS!C12/BS!C48</f>
        <v>0.2630720486509458</v>
      </c>
      <c r="D6" s="6">
        <f>BS!D12/BS!D48</f>
        <v>0.35951701970238181</v>
      </c>
      <c r="E6" s="6">
        <f>BS!E12/BS!E48</f>
        <v>0.54343788561345086</v>
      </c>
      <c r="F6" s="6">
        <f>BS!F12/BS!F48</f>
        <v>0.75681681210423424</v>
      </c>
      <c r="G6" s="6">
        <f>BS!G12/BS!G48</f>
        <v>1.1479045094311358</v>
      </c>
      <c r="H6" s="6">
        <f>BS!H12/BS!H48</f>
        <v>3.7144953774884901</v>
      </c>
      <c r="I6" s="6">
        <f>BS!I12/BS!I48</f>
        <v>-3.481844446978668</v>
      </c>
    </row>
    <row r="7" spans="1:9" x14ac:dyDescent="0.3">
      <c r="A7" s="5" t="s">
        <v>119</v>
      </c>
      <c r="B7" s="6">
        <f>(BS!B16+BS!B22+BS!B23)/BS!B12</f>
        <v>0.97382832069376546</v>
      </c>
      <c r="C7" s="6">
        <f>(BS!C16+BS!C22+BS!C23)/BS!C12</f>
        <v>0.98697787300202877</v>
      </c>
      <c r="D7" s="6">
        <f>(BS!D16+BS!D22+BS!D23)/BS!D12</f>
        <v>0.98287511371728609</v>
      </c>
      <c r="E7" s="6">
        <f>(BS!E16+BS!E22+BS!E23)/BS!E12</f>
        <v>0.98227644712641304</v>
      </c>
      <c r="F7" s="6">
        <f>(BS!F16+BS!F22+BS!F23)/BS!F12</f>
        <v>0.85636323128133751</v>
      </c>
      <c r="G7" s="6">
        <f>(BS!G16+BS!G22+BS!G23)/BS!G12</f>
        <v>0.89159684656660121</v>
      </c>
      <c r="H7" s="6">
        <f>(BS!H16+BS!H22+BS!H23)/BS!H12</f>
        <v>0.85497823063887468</v>
      </c>
      <c r="I7" s="6">
        <f>(BS!I16+BS!I22+BS!I23)/BS!I12</f>
        <v>0.81695810619390619</v>
      </c>
    </row>
    <row r="8" spans="1:9" x14ac:dyDescent="0.3">
      <c r="A8" s="12" t="s">
        <v>120</v>
      </c>
      <c r="B8" s="12"/>
      <c r="C8" s="12"/>
      <c r="D8" s="12"/>
      <c r="E8" s="12"/>
      <c r="F8" s="12"/>
      <c r="G8" s="12"/>
      <c r="H8" s="12"/>
      <c r="I8" s="12"/>
    </row>
    <row r="9" spans="1:9" x14ac:dyDescent="0.3">
      <c r="A9" s="12"/>
      <c r="B9" s="12"/>
      <c r="C9" s="12"/>
      <c r="D9" s="12"/>
      <c r="E9" s="12"/>
      <c r="F9" s="12"/>
      <c r="G9" s="12"/>
      <c r="H9" s="12"/>
      <c r="I9" s="12"/>
    </row>
    <row r="10" spans="1:9" x14ac:dyDescent="0.3">
      <c r="A10" s="9" t="s">
        <v>121</v>
      </c>
      <c r="B10" s="6">
        <f>'P&amp;LA'!B14/('P&amp;LA'!B11-'P&amp;LA'!B12)</f>
        <v>0.85182712051149356</v>
      </c>
      <c r="C10" s="6">
        <f>'P&amp;LA'!C14/('P&amp;LA'!C11-'P&amp;LA'!C12)</f>
        <v>0.8762360020867962</v>
      </c>
      <c r="D10" s="6">
        <f>'P&amp;LA'!D14/('P&amp;LA'!D11-'P&amp;LA'!D12)</f>
        <v>0.87635265342425139</v>
      </c>
      <c r="E10" s="6">
        <f>'P&amp;LA'!E14/('P&amp;LA'!E11-'P&amp;LA'!E12)</f>
        <v>0.87341147439851941</v>
      </c>
      <c r="F10" s="6">
        <f>'P&amp;LA'!F14/('P&amp;LA'!F11-'P&amp;LA'!F12)</f>
        <v>0.90849089309048237</v>
      </c>
      <c r="G10" s="6">
        <f>'P&amp;LA'!G14/('P&amp;LA'!G11-'P&amp;LA'!G12)</f>
        <v>0.9524895374736303</v>
      </c>
      <c r="H10" s="6">
        <f>'P&amp;LA'!H14/('P&amp;LA'!H11-'P&amp;LA'!H12)</f>
        <v>0.95924887153774785</v>
      </c>
      <c r="I10" s="6">
        <f>'P&amp;LA'!I14/('P&amp;LA'!I11-'P&amp;LA'!I12)</f>
        <v>0.96604526251148226</v>
      </c>
    </row>
    <row r="11" spans="1:9" x14ac:dyDescent="0.3">
      <c r="A11" s="9" t="s">
        <v>122</v>
      </c>
      <c r="B11" s="6">
        <f>('P&amp;LA'!B11-'P&amp;LA'!B12)/'P&amp;LA'!B11</f>
        <v>1.0019402211183033</v>
      </c>
      <c r="C11" s="6">
        <f>('P&amp;LA'!C11-'P&amp;LA'!C12)/'P&amp;LA'!C11</f>
        <v>0.999175667648592</v>
      </c>
      <c r="D11" s="6">
        <f>('P&amp;LA'!D11-'P&amp;LA'!D12)/'P&amp;LA'!D11</f>
        <v>1.0000463258933949</v>
      </c>
      <c r="E11" s="6">
        <f>('P&amp;LA'!E11-'P&amp;LA'!E12)/'P&amp;LA'!E11</f>
        <v>1.0020523218436279</v>
      </c>
      <c r="F11" s="6">
        <f>('P&amp;LA'!F11-'P&amp;LA'!F12)/'P&amp;LA'!F11</f>
        <v>1.0035191008229076</v>
      </c>
      <c r="G11" s="6">
        <f>('P&amp;LA'!G11-'P&amp;LA'!G12)/'P&amp;LA'!G11</f>
        <v>1</v>
      </c>
      <c r="H11" s="6">
        <f>('P&amp;LA'!H11-'P&amp;LA'!H12)/'P&amp;LA'!H11</f>
        <v>1</v>
      </c>
      <c r="I11" s="6">
        <f>('P&amp;LA'!I11-'P&amp;LA'!I12)/'P&amp;LA'!I11</f>
        <v>1</v>
      </c>
    </row>
    <row r="12" spans="1:9" x14ac:dyDescent="0.3">
      <c r="A12" s="9" t="s">
        <v>123</v>
      </c>
      <c r="B12" s="6">
        <f>'P&amp;LA'!B11/'P&amp;LA'!B5</f>
        <v>0.20900745319032904</v>
      </c>
      <c r="C12" s="6">
        <f>'P&amp;LA'!C11/'P&amp;LA'!C5</f>
        <v>0.26202175811959028</v>
      </c>
      <c r="D12" s="6">
        <f>'P&amp;LA'!D11/'P&amp;LA'!D5</f>
        <v>0.26873509185162314</v>
      </c>
      <c r="E12" s="6">
        <f>'P&amp;LA'!E11/'P&amp;LA'!E5</f>
        <v>0.21005375739055912</v>
      </c>
      <c r="F12" s="6">
        <f>'P&amp;LA'!F11/'P&amp;LA'!F5</f>
        <v>0.24475232479502995</v>
      </c>
      <c r="G12" s="6">
        <f>'P&amp;LA'!G11/'P&amp;LA'!G5</f>
        <v>0.49603851534732296</v>
      </c>
      <c r="H12" s="6">
        <f>'P&amp;LA'!H11/'P&amp;LA'!H5</f>
        <v>0.5122406048349617</v>
      </c>
      <c r="I12" s="6">
        <f>'P&amp;LA'!I11/'P&amp;LA'!I5</f>
        <v>0.53292809640607797</v>
      </c>
    </row>
    <row r="13" spans="1:9" x14ac:dyDescent="0.3">
      <c r="A13" s="9" t="s">
        <v>124</v>
      </c>
      <c r="B13" s="6">
        <f>'P&amp;LA'!B5/BS!B48</f>
        <v>0.24534550117289855</v>
      </c>
      <c r="C13" s="6">
        <f>'P&amp;LA'!C5/BS!C48</f>
        <v>0.31406934914595486</v>
      </c>
      <c r="D13" s="6">
        <f>'P&amp;LA'!D5/BS!D48</f>
        <v>0.49197891095464191</v>
      </c>
      <c r="E13" s="6">
        <f>'P&amp;LA'!E5/BS!E48</f>
        <v>0.81084287116106235</v>
      </c>
      <c r="F13" s="6">
        <f>'P&amp;LA'!F5/BS!F48</f>
        <v>1.0195359909982855</v>
      </c>
      <c r="G13" s="6">
        <f>'P&amp;LA'!G5/BS!G48</f>
        <v>1.6475208556069467</v>
      </c>
      <c r="H13" s="6">
        <f>'P&amp;LA'!H5/BS!H48</f>
        <v>5.4644813394268121</v>
      </c>
      <c r="I13" s="6">
        <f>'P&amp;LA'!I5/BS!I48</f>
        <v>-5.1138565575942323</v>
      </c>
    </row>
    <row r="14" spans="1:9" x14ac:dyDescent="0.3">
      <c r="A14" s="9" t="s">
        <v>125</v>
      </c>
      <c r="B14" s="6">
        <f>BS!B48/BS!B12</f>
        <v>5.0353058545096481</v>
      </c>
      <c r="C14" s="6">
        <f>BS!C48/BS!C12</f>
        <v>3.8012400219942739</v>
      </c>
      <c r="D14" s="6">
        <f>BS!D48/BS!D12</f>
        <v>2.781509484106838</v>
      </c>
      <c r="E14" s="6">
        <f>BS!E48/BS!E12</f>
        <v>1.8401367046229515</v>
      </c>
      <c r="F14" s="6">
        <f>BS!F48/BS!F12</f>
        <v>1.3213237126955801</v>
      </c>
      <c r="G14" s="6">
        <f>BS!G48/BS!G12</f>
        <v>0.8711526017922584</v>
      </c>
      <c r="H14" s="6">
        <f>BS!H48/BS!H12</f>
        <v>0.26921557260791035</v>
      </c>
      <c r="I14" s="6">
        <f>BS!I48/BS!I12</f>
        <v>-0.28720409978904682</v>
      </c>
    </row>
    <row r="15" spans="1:9" x14ac:dyDescent="0.3">
      <c r="A15" s="9" t="s">
        <v>120</v>
      </c>
      <c r="B15" s="6">
        <f>'P&amp;LA'!B14/BS!B12</f>
        <v>0.22037331352462555</v>
      </c>
      <c r="C15" s="6">
        <f>'P&amp;LA'!C14/BS!C12</f>
        <v>0.27387421550596308</v>
      </c>
      <c r="D15" s="6">
        <f>'P&amp;LA'!D14/BS!D12</f>
        <v>0.32229267677714135</v>
      </c>
      <c r="E15" s="6">
        <f>'P&amp;LA'!E14/BS!E12</f>
        <v>0.27430046084853998</v>
      </c>
      <c r="F15" s="6">
        <f>'P&amp;LA'!F14/BS!F12</f>
        <v>0.30059713542643235</v>
      </c>
      <c r="G15" s="6">
        <f>'P&amp;LA'!G14/BS!G12</f>
        <v>0.67811097267288911</v>
      </c>
      <c r="H15" s="6">
        <f>'P&amp;LA'!H14/BS!H12</f>
        <v>0.72286038313625389</v>
      </c>
      <c r="I15" s="6">
        <f>'P&amp;LA'!I14/BS!I12</f>
        <v>0.7561453214743542</v>
      </c>
    </row>
  </sheetData>
  <mergeCells count="4">
    <mergeCell ref="A1:I2"/>
    <mergeCell ref="B3:F3"/>
    <mergeCell ref="G3:I3"/>
    <mergeCell ref="A8:I9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24DF9-FA39-4748-B35C-E5AF66EEB894}">
  <sheetPr codeName="Sheet6"/>
  <dimension ref="A1:I10"/>
  <sheetViews>
    <sheetView workbookViewId="0">
      <selection activeCell="L10" sqref="L10"/>
    </sheetView>
  </sheetViews>
  <sheetFormatPr defaultRowHeight="14.4" x14ac:dyDescent="0.3"/>
  <cols>
    <col min="1" max="1" width="15.21875" bestFit="1" customWidth="1"/>
  </cols>
  <sheetData>
    <row r="1" spans="1:9" x14ac:dyDescent="0.3">
      <c r="A1" s="12" t="s">
        <v>126</v>
      </c>
      <c r="B1" s="12"/>
      <c r="C1" s="12"/>
      <c r="D1" s="12"/>
      <c r="E1" s="12"/>
      <c r="F1" s="12"/>
      <c r="G1" s="12"/>
      <c r="H1" s="12"/>
      <c r="I1" s="12"/>
    </row>
    <row r="2" spans="1:9" x14ac:dyDescent="0.3">
      <c r="A2" s="12"/>
      <c r="B2" s="12"/>
      <c r="C2" s="12"/>
      <c r="D2" s="12"/>
      <c r="E2" s="12"/>
      <c r="F2" s="12"/>
      <c r="G2" s="12"/>
      <c r="H2" s="12"/>
      <c r="I2" s="12"/>
    </row>
    <row r="3" spans="1:9" ht="21" x14ac:dyDescent="0.3">
      <c r="A3" s="4"/>
      <c r="B3" s="10" t="s">
        <v>7</v>
      </c>
      <c r="C3" s="10"/>
      <c r="D3" s="10"/>
      <c r="E3" s="10"/>
      <c r="F3" s="10"/>
      <c r="G3" s="11" t="s">
        <v>8</v>
      </c>
      <c r="H3" s="11"/>
      <c r="I3" s="11"/>
    </row>
    <row r="4" spans="1:9" x14ac:dyDescent="0.3">
      <c r="A4" s="7" t="s">
        <v>115</v>
      </c>
      <c r="B4" s="8">
        <f>'P&amp;L'!B4</f>
        <v>2016</v>
      </c>
      <c r="C4" s="8">
        <f>'P&amp;L'!C4</f>
        <v>2017</v>
      </c>
      <c r="D4" s="8">
        <f>'P&amp;L'!D4</f>
        <v>2018</v>
      </c>
      <c r="E4" s="8">
        <f>'P&amp;L'!E4</f>
        <v>2019</v>
      </c>
      <c r="F4" s="8">
        <f>'P&amp;L'!F4</f>
        <v>2020</v>
      </c>
      <c r="G4" s="8">
        <f>'P&amp;L'!G4</f>
        <v>2021</v>
      </c>
      <c r="H4" s="8">
        <f>'P&amp;L'!H4</f>
        <v>2022</v>
      </c>
      <c r="I4" s="8">
        <f>'P&amp;L'!I4</f>
        <v>2023</v>
      </c>
    </row>
    <row r="5" spans="1:9" x14ac:dyDescent="0.3">
      <c r="A5" s="5" t="s">
        <v>127</v>
      </c>
      <c r="B5" s="6">
        <f>'P&amp;LA'!B14/BS!B12</f>
        <v>0.22037331352462555</v>
      </c>
      <c r="C5" s="6">
        <f>'P&amp;LA'!C14/BS!C12</f>
        <v>0.27387421550596308</v>
      </c>
      <c r="D5" s="6">
        <f>'P&amp;LA'!D14/BS!D12</f>
        <v>0.32229267677714135</v>
      </c>
      <c r="E5" s="6">
        <f>'P&amp;LA'!E14/BS!E12</f>
        <v>0.27430046084853998</v>
      </c>
      <c r="F5" s="6">
        <f>'P&amp;LA'!F14/BS!F12</f>
        <v>0.30059713542643235</v>
      </c>
      <c r="G5" s="6">
        <f>'P&amp;LA'!G14/BS!G12</f>
        <v>0.67811097267288911</v>
      </c>
      <c r="H5" s="6">
        <f>'P&amp;LA'!H14/BS!H12</f>
        <v>0.72286038313625389</v>
      </c>
      <c r="I5" s="6">
        <f>'P&amp;LA'!I14/BS!I12</f>
        <v>0.7561453214743542</v>
      </c>
    </row>
    <row r="6" spans="1:9" x14ac:dyDescent="0.3">
      <c r="A6" s="5" t="s">
        <v>128</v>
      </c>
      <c r="B6" s="6">
        <f>'P&amp;LA'!B14/BS!B48</f>
        <v>4.3765626139126781E-2</v>
      </c>
      <c r="C6" s="6">
        <f>'P&amp;LA'!C14/BS!C48</f>
        <v>7.2048650945824341E-2</v>
      </c>
      <c r="D6" s="6">
        <f>'P&amp;LA'!D14/BS!D48</f>
        <v>0.11586970262682092</v>
      </c>
      <c r="E6" s="6">
        <f>'P&amp;LA'!E14/BS!E48</f>
        <v>0.14906526246632573</v>
      </c>
      <c r="F6" s="6">
        <f>'P&amp;LA'!F14/BS!F48</f>
        <v>0.22749696576109729</v>
      </c>
      <c r="G6" s="6">
        <f>'P&amp;LA'!G14/BS!G48</f>
        <v>0.77840664342594312</v>
      </c>
      <c r="H6" s="6">
        <f>'P&amp;LA'!H14/BS!H48</f>
        <v>2.685061551729174</v>
      </c>
      <c r="I6" s="6">
        <f>'P&amp;LA'!I14/BS!I48</f>
        <v>-2.6327803886843797</v>
      </c>
    </row>
    <row r="7" spans="1:9" x14ac:dyDescent="0.3">
      <c r="A7" s="5" t="s">
        <v>129</v>
      </c>
      <c r="B7" s="6">
        <f>'P&amp;LA'!B11/(BS!B48-BS!B26)</f>
        <v>6.095980570189883E-2</v>
      </c>
      <c r="C7" s="6">
        <f>'P&amp;LA'!C11/(BS!C48-BS!C26)</f>
        <v>0.10753743688819188</v>
      </c>
      <c r="D7" s="6">
        <f>'P&amp;LA'!D11/(BS!D48-BS!D26)</f>
        <v>0.21478976947080175</v>
      </c>
      <c r="E7" s="6">
        <f>'P&amp;LA'!E11/(BS!E48-BS!E26)</f>
        <v>0.30714121164405583</v>
      </c>
      <c r="F7" s="6">
        <f>'P&amp;LA'!F11/(BS!F48-BS!F26)</f>
        <v>0.803252347096157</v>
      </c>
      <c r="G7" s="6">
        <f>'P&amp;LA'!G11/(BS!G48-BS!G26)</f>
        <v>-15.946416151053175</v>
      </c>
      <c r="H7" s="6">
        <f>'P&amp;LA'!H11/(BS!H48-BS!H26)</f>
        <v>-1.2073256666533154</v>
      </c>
      <c r="I7" s="6">
        <f>'P&amp;LA'!I11/(BS!I48-BS!I26)</f>
        <v>-0.67899962759250787</v>
      </c>
    </row>
    <row r="8" spans="1:9" x14ac:dyDescent="0.3">
      <c r="A8" s="5" t="s">
        <v>130</v>
      </c>
      <c r="B8" s="6">
        <f>'P&amp;LA'!B7/'P&amp;LA'!B5</f>
        <v>0.38235705396221664</v>
      </c>
      <c r="C8" s="6">
        <f>'P&amp;LA'!C7/'P&amp;LA'!C5</f>
        <v>0.44385928690542364</v>
      </c>
      <c r="D8" s="6">
        <f>'P&amp;LA'!D7/'P&amp;LA'!D5</f>
        <v>0.48347965520160546</v>
      </c>
      <c r="E8" s="6">
        <f>'P&amp;LA'!E7/'P&amp;LA'!E5</f>
        <v>0.47437737515040818</v>
      </c>
      <c r="F8" s="6">
        <f>'P&amp;LA'!F7/'P&amp;LA'!F5</f>
        <v>0.53368844553536199</v>
      </c>
      <c r="G8" s="6">
        <f>'P&amp;LA'!G7/'P&amp;LA'!G5</f>
        <v>0.53225764303674805</v>
      </c>
      <c r="H8" s="6">
        <f>'P&amp;LA'!H7/'P&amp;LA'!H5</f>
        <v>0.54789221552739509</v>
      </c>
      <c r="I8" s="6">
        <f>'P&amp;LA'!I7/'P&amp;LA'!I5</f>
        <v>0.56724909894875597</v>
      </c>
    </row>
    <row r="9" spans="1:9" x14ac:dyDescent="0.3">
      <c r="A9" s="5" t="s">
        <v>123</v>
      </c>
      <c r="B9" s="6">
        <f>'P&amp;LA'!B11/'P&amp;LA'!B5</f>
        <v>0.20900745319032904</v>
      </c>
      <c r="C9" s="6">
        <f>'P&amp;LA'!C11/'P&amp;LA'!C5</f>
        <v>0.26202175811959028</v>
      </c>
      <c r="D9" s="6">
        <f>'P&amp;LA'!D11/'P&amp;LA'!D5</f>
        <v>0.26873509185162314</v>
      </c>
      <c r="E9" s="6">
        <f>'P&amp;LA'!E11/'P&amp;LA'!E5</f>
        <v>0.21005375739055912</v>
      </c>
      <c r="F9" s="6">
        <f>'P&amp;LA'!F11/'P&amp;LA'!F5</f>
        <v>0.24475232479502995</v>
      </c>
      <c r="G9" s="6">
        <f>'P&amp;LA'!G11/'P&amp;LA'!G5</f>
        <v>0.49603851534732296</v>
      </c>
      <c r="H9" s="6">
        <f>'P&amp;LA'!H11/'P&amp;LA'!H5</f>
        <v>0.5122406048349617</v>
      </c>
      <c r="I9" s="6">
        <f>'P&amp;LA'!I11/'P&amp;LA'!I5</f>
        <v>0.53292809640607797</v>
      </c>
    </row>
    <row r="10" spans="1:9" x14ac:dyDescent="0.3">
      <c r="A10" s="5" t="s">
        <v>131</v>
      </c>
      <c r="B10" s="6">
        <f>'P&amp;LA'!B14/'P&amp;LA'!B5</f>
        <v>0.17838365052507935</v>
      </c>
      <c r="C10" s="6">
        <f>'P&amp;LA'!C14/'P&amp;LA'!C5</f>
        <v>0.22940363694115778</v>
      </c>
      <c r="D10" s="6">
        <f>'P&amp;LA'!D14/'P&amp;LA'!D5</f>
        <v>0.23551762087115874</v>
      </c>
      <c r="E10" s="6">
        <f>'P&amp;LA'!E14/'P&amp;LA'!E5</f>
        <v>0.18383988781066318</v>
      </c>
      <c r="F10" s="6">
        <f>'P&amp;LA'!F14/'P&amp;LA'!F5</f>
        <v>0.22313774871090342</v>
      </c>
      <c r="G10" s="6">
        <f>'P&amp;LA'!G14/'P&amp;LA'!G5</f>
        <v>0.47247149605227795</v>
      </c>
      <c r="H10" s="6">
        <f>'P&amp;LA'!H14/'P&amp;LA'!H5</f>
        <v>0.49136622214375048</v>
      </c>
      <c r="I10" s="6">
        <f>'P&amp;LA'!I14/'P&amp;LA'!I5</f>
        <v>0.51483266279235407</v>
      </c>
    </row>
  </sheetData>
  <mergeCells count="3">
    <mergeCell ref="A1:I2"/>
    <mergeCell ref="B3:F3"/>
    <mergeCell ref="G3:I3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BCBF2-EAB8-44BB-B678-8E4F471EEA7B}">
  <sheetPr codeName="Sheet7"/>
  <dimension ref="A1:N8"/>
  <sheetViews>
    <sheetView workbookViewId="0">
      <selection activeCell="L9" sqref="L9"/>
    </sheetView>
  </sheetViews>
  <sheetFormatPr defaultRowHeight="14.4" x14ac:dyDescent="0.3"/>
  <cols>
    <col min="1" max="1" width="18.88671875" bestFit="1" customWidth="1"/>
  </cols>
  <sheetData>
    <row r="1" spans="1:14" x14ac:dyDescent="0.3">
      <c r="A1" s="12" t="s">
        <v>132</v>
      </c>
      <c r="B1" s="12"/>
      <c r="C1" s="12"/>
      <c r="D1" s="12"/>
      <c r="E1" s="12"/>
      <c r="F1" s="12"/>
      <c r="G1" s="12"/>
      <c r="H1" s="12"/>
      <c r="I1" s="12"/>
    </row>
    <row r="2" spans="1:14" x14ac:dyDescent="0.3">
      <c r="A2" s="12"/>
      <c r="B2" s="12"/>
      <c r="C2" s="12"/>
      <c r="D2" s="12"/>
      <c r="E2" s="12"/>
      <c r="F2" s="12"/>
      <c r="G2" s="12"/>
      <c r="H2" s="12"/>
      <c r="I2" s="12"/>
    </row>
    <row r="3" spans="1:14" ht="21" x14ac:dyDescent="0.3">
      <c r="A3" s="4"/>
      <c r="B3" s="10" t="s">
        <v>7</v>
      </c>
      <c r="C3" s="10"/>
      <c r="D3" s="10"/>
      <c r="E3" s="10"/>
      <c r="F3" s="10"/>
      <c r="G3" s="11" t="s">
        <v>8</v>
      </c>
      <c r="H3" s="11"/>
      <c r="I3" s="11"/>
    </row>
    <row r="4" spans="1:14" x14ac:dyDescent="0.3">
      <c r="A4" s="7" t="s">
        <v>115</v>
      </c>
      <c r="B4" s="8">
        <f>'P&amp;L'!B4</f>
        <v>2016</v>
      </c>
      <c r="C4" s="8">
        <f>'P&amp;L'!C4</f>
        <v>2017</v>
      </c>
      <c r="D4" s="8">
        <f>'P&amp;L'!D4</f>
        <v>2018</v>
      </c>
      <c r="E4" s="8">
        <f>'P&amp;L'!E4</f>
        <v>2019</v>
      </c>
      <c r="F4" s="8">
        <f>'P&amp;L'!F4</f>
        <v>2020</v>
      </c>
      <c r="G4" s="8">
        <f>'P&amp;L'!G4</f>
        <v>2021</v>
      </c>
      <c r="H4" s="8">
        <f>'P&amp;L'!H4</f>
        <v>2022</v>
      </c>
      <c r="I4" s="8">
        <f>'P&amp;L'!I4</f>
        <v>2023</v>
      </c>
    </row>
    <row r="5" spans="1:14" x14ac:dyDescent="0.3">
      <c r="A5" s="5" t="s">
        <v>134</v>
      </c>
      <c r="B5" s="6">
        <f>BS!B47/BS!B26</f>
        <v>1.3948388908692224</v>
      </c>
      <c r="C5" s="6">
        <f>BS!C47/BS!C26</f>
        <v>0.98613773027643792</v>
      </c>
      <c r="D5" s="6">
        <f>BS!D47/BS!D26</f>
        <v>0.58558173916368228</v>
      </c>
      <c r="E5" s="6">
        <f>BS!E47/BS!E26</f>
        <v>0.46266253206522084</v>
      </c>
      <c r="F5" s="6">
        <f>BS!F47/BS!F26</f>
        <v>0.30946972265545536</v>
      </c>
      <c r="G5" s="6">
        <f>BS!G47/BS!G26</f>
        <v>0.18909701652088187</v>
      </c>
      <c r="H5" s="6">
        <f>BS!H47/BS!H26</f>
        <v>2.8368847382655153E-2</v>
      </c>
      <c r="I5" s="6">
        <f>BS!I47/BS!I26</f>
        <v>-0.11853468742927922</v>
      </c>
      <c r="N5" t="s">
        <v>133</v>
      </c>
    </row>
    <row r="6" spans="1:14" x14ac:dyDescent="0.3">
      <c r="A6" s="5" t="s">
        <v>135</v>
      </c>
      <c r="B6" s="6">
        <f>(BS!B41+BS!B44+BS!B43)/BS!B26</f>
        <v>0.31777331302591355</v>
      </c>
      <c r="C6" s="6">
        <f>(BS!C41+BS!C44+BS!C43)/BS!C26</f>
        <v>0.29092918003527185</v>
      </c>
      <c r="D6" s="6">
        <f>(BS!D41+BS!D44+BS!D43)/BS!D26</f>
        <v>0.25302690440080039</v>
      </c>
      <c r="E6" s="6">
        <f>(BS!E41+BS!E44+BS!E43)/BS!E26</f>
        <v>0.35356199696207635</v>
      </c>
      <c r="F6" s="6">
        <f>(BS!F41+BS!F44+BS!F43)/BS!F26</f>
        <v>0.29907051313100003</v>
      </c>
      <c r="G6" s="6">
        <f>(BS!G41+BS!G44+BS!G43)/BS!G26</f>
        <v>0.30911500093247118</v>
      </c>
      <c r="H6" s="6">
        <f>(BS!H41+BS!H44+BS!H43)/BS!H26</f>
        <v>0.32055123233582811</v>
      </c>
      <c r="I6" s="6">
        <f>(BS!I41+BS!I44+BS!I43)/BS!I26</f>
        <v>0.3320932602816356</v>
      </c>
    </row>
    <row r="7" spans="1:14" x14ac:dyDescent="0.3">
      <c r="A7" s="5" t="s">
        <v>136</v>
      </c>
      <c r="B7" s="6">
        <f>BS!B44/BS!B26</f>
        <v>6.410339501171998E-2</v>
      </c>
      <c r="C7" s="6">
        <f>BS!C44/BS!C26</f>
        <v>1.2846609863374625E-2</v>
      </c>
      <c r="D7" s="6">
        <f>BS!D44/BS!D26</f>
        <v>1.3557345500426954E-2</v>
      </c>
      <c r="E7" s="6">
        <f>BS!E44/BS!E26</f>
        <v>3.4920364802944644E-2</v>
      </c>
      <c r="F7" s="6">
        <f>BS!F44/BS!F26</f>
        <v>7.4882058336320223E-2</v>
      </c>
      <c r="G7" s="6">
        <f>BS!G44/BS!G26</f>
        <v>5.7418008323294835E-2</v>
      </c>
      <c r="H7" s="6">
        <f>BS!H44/BS!H26</f>
        <v>7.8694295612047938E-2</v>
      </c>
      <c r="I7" s="6">
        <f>BS!I44/BS!I26</f>
        <v>9.7161368434766623E-2</v>
      </c>
    </row>
    <row r="8" spans="1:14" x14ac:dyDescent="0.3">
      <c r="A8" s="5" t="s">
        <v>137</v>
      </c>
      <c r="B8" s="6">
        <f>CF!B6/BS!B26</f>
        <v>3.6405532691705281E-2</v>
      </c>
      <c r="C8" s="6">
        <f>CF!C6/BS!C26</f>
        <v>0</v>
      </c>
      <c r="D8" s="6">
        <f>CF!D6/BS!D26</f>
        <v>3.1450046518741316E-2</v>
      </c>
      <c r="E8" s="6">
        <f>CF!E6/BS!E26</f>
        <v>0</v>
      </c>
      <c r="F8" s="6">
        <f>CF!F6/BS!F26</f>
        <v>1.7826821920196842E-2</v>
      </c>
      <c r="G8" s="6">
        <f>CF!G6/BS!G26</f>
        <v>1.1376029870681086E-2</v>
      </c>
      <c r="H8" s="6">
        <f>CF!H6/BS!H26</f>
        <v>1.3553209267050012E-2</v>
      </c>
      <c r="I8" s="6">
        <f>CF!I6/BS!I26</f>
        <v>8.6865880898449391E-3</v>
      </c>
    </row>
  </sheetData>
  <mergeCells count="3">
    <mergeCell ref="A1:I2"/>
    <mergeCell ref="B3:F3"/>
    <mergeCell ref="G3:I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BS</vt:lpstr>
      <vt:lpstr>P&amp;L</vt:lpstr>
      <vt:lpstr>CF</vt:lpstr>
      <vt:lpstr>CfA</vt:lpstr>
      <vt:lpstr>P&amp;LA</vt:lpstr>
      <vt:lpstr>LeA</vt:lpstr>
      <vt:lpstr>PA</vt:lpstr>
      <vt:lpstr>LiA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Pritish Urumkar</dc:creator>
  <cp:lastModifiedBy>Pritish Urumkar</cp:lastModifiedBy>
  <dcterms:created xsi:type="dcterms:W3CDTF">2020-10-25T19:37:08Z</dcterms:created>
  <dcterms:modified xsi:type="dcterms:W3CDTF">2021-01-21T11:30:00Z</dcterms:modified>
</cp:coreProperties>
</file>